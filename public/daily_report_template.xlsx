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yan\Desktop\"/>
    </mc:Choice>
  </mc:AlternateContent>
  <xr:revisionPtr revIDLastSave="0" documentId="13_ncr:1_{1160D1EA-B3EC-4B5F-97A1-5EC40F7C53FB}" xr6:coauthVersionLast="47" xr6:coauthVersionMax="47" xr10:uidLastSave="{00000000-0000-0000-0000-000000000000}"/>
  <bookViews>
    <workbookView xWindow="-110" yWindow="-110" windowWidth="25820" windowHeight="15500" firstSheet="26" activeTab="46" xr2:uid="{00000000-000D-0000-FFFF-FFFF00000000}"/>
  </bookViews>
  <sheets>
    <sheet name="Sheet2" sheetId="42" state="hidden" r:id="rId1"/>
    <sheet name="PL-WM" sheetId="41" state="hidden" r:id="rId2"/>
    <sheet name="G-Stat" sheetId="36" state="hidden" r:id="rId3"/>
    <sheet name="G-Graph" sheetId="37" state="hidden" r:id="rId4"/>
    <sheet name="S-Detail" sheetId="1" state="hidden" r:id="rId5"/>
    <sheet name="S-Graph" sheetId="38" state="hidden" r:id="rId6"/>
    <sheet name="Emp-Stat" sheetId="39" state="hidden" r:id="rId7"/>
    <sheet name="INV-1" sheetId="34" state="hidden" r:id="rId8"/>
    <sheet name="INV-2" sheetId="33" state="hidden" r:id="rId9"/>
    <sheet name="Ref Cells" sheetId="48" state="hidden" r:id="rId10"/>
    <sheet name="Sales (Auto)" sheetId="35" r:id="rId11"/>
    <sheet name="Sheet3" sheetId="94" r:id="rId12"/>
    <sheet name="Purchases" sheetId="90" r:id="rId13"/>
    <sheet name="Expenses" sheetId="91" state="hidden" r:id="rId14"/>
    <sheet name="Gas Report" sheetId="93" r:id="rId15"/>
    <sheet name="Month-End" sheetId="92" r:id="rId16"/>
    <sheet name="1" sheetId="2" r:id="rId17"/>
    <sheet name="2" sheetId="50" r:id="rId18"/>
    <sheet name="3" sheetId="51" r:id="rId19"/>
    <sheet name="4" sheetId="60" r:id="rId20"/>
    <sheet name="5" sheetId="61" r:id="rId21"/>
    <sheet name="6" sheetId="62" r:id="rId22"/>
    <sheet name="7" sheetId="64" r:id="rId23"/>
    <sheet name="8" sheetId="65" r:id="rId24"/>
    <sheet name="9" sheetId="66" r:id="rId25"/>
    <sheet name="10" sheetId="67" r:id="rId26"/>
    <sheet name="11" sheetId="69" r:id="rId27"/>
    <sheet name="12" sheetId="70" r:id="rId28"/>
    <sheet name="13" sheetId="71" r:id="rId29"/>
    <sheet name="14" sheetId="72" r:id="rId30"/>
    <sheet name="15" sheetId="73" r:id="rId31"/>
    <sheet name="16" sheetId="74" r:id="rId32"/>
    <sheet name="17" sheetId="75" r:id="rId33"/>
    <sheet name="18" sheetId="76" r:id="rId34"/>
    <sheet name="19" sheetId="77" r:id="rId35"/>
    <sheet name="20" sheetId="78" r:id="rId36"/>
    <sheet name="21" sheetId="79" r:id="rId37"/>
    <sheet name="22" sheetId="80" r:id="rId38"/>
    <sheet name="23" sheetId="81" r:id="rId39"/>
    <sheet name="24" sheetId="82" r:id="rId40"/>
    <sheet name="25" sheetId="83" r:id="rId41"/>
    <sheet name="26" sheetId="84" r:id="rId42"/>
    <sheet name="27" sheetId="85" r:id="rId43"/>
    <sheet name="28" sheetId="86" r:id="rId44"/>
    <sheet name="29" sheetId="87" r:id="rId45"/>
    <sheet name="30" sheetId="88" r:id="rId46"/>
    <sheet name="31" sheetId="89" r:id="rId47"/>
  </sheets>
  <definedNames>
    <definedName name="_xlnm.Print_Area" localSheetId="2">'G-Stat'!$B$2:$AG$62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<sst xmlns="http://schemas.openxmlformats.org/spreadsheetml/2006/main">
  <si>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Date:</t>
  </si>
  <si>
    <t>Register 01</t>
  </si>
  <si>
    <t>Employee:</t>
  </si>
  <si>
    <t>Phone Card:</t>
  </si>
  <si>
    <t>Lottery Register Report:</t>
  </si>
  <si>
    <t>Lotto:</t>
  </si>
  <si>
    <t>Net Sales:</t>
  </si>
  <si>
    <t>Day:</t>
  </si>
  <si>
    <t>Wednesday</t>
  </si>
  <si>
    <t>Gas Gal.:</t>
  </si>
  <si>
    <t>Lotto Diff:</t>
  </si>
  <si>
    <t>Daily Expense:</t>
  </si>
  <si>
    <t>M:</t>
  </si>
  <si>
    <t>Emp:</t>
  </si>
  <si>
    <t>Gas Diff:</t>
  </si>
  <si>
    <t>No. of Sales:</t>
  </si>
  <si>
    <t>Avg./Sale:</t>
  </si>
  <si>
    <t>Total Account For:</t>
  </si>
  <si>
    <t>E:</t>
  </si>
  <si>
    <t>Paid Out:</t>
  </si>
  <si>
    <t>Credit:</t>
  </si>
  <si>
    <t>N:</t>
  </si>
  <si>
    <t>Debit:</t>
  </si>
  <si>
    <t>Total Cash:</t>
  </si>
  <si>
    <t>Gas Sale:</t>
  </si>
  <si>
    <t>TOTAL ACCOUNTED:</t>
  </si>
  <si>
    <t>Sales Tax:</t>
  </si>
  <si>
    <t>Over / Short:</t>
  </si>
  <si>
    <t>Help</t>
  </si>
  <si>
    <t>INSIDE SALES:</t>
  </si>
  <si>
    <t>Total Paid Out / Expense:</t>
  </si>
  <si>
    <t>Pump / Lotto</t>
  </si>
  <si>
    <t>Tank 1-regular</t>
  </si>
  <si>
    <t>Tank 2-super</t>
  </si>
  <si>
    <t>Tank 3-diesel</t>
  </si>
  <si>
    <t>Gas Reading</t>
  </si>
  <si>
    <t>Lotto Reading</t>
  </si>
  <si>
    <t>Diesel</t>
  </si>
  <si>
    <t>Regular</t>
  </si>
  <si>
    <t>super</t>
  </si>
  <si>
    <t>special</t>
  </si>
  <si>
    <t>Beg.</t>
  </si>
  <si>
    <t>End.</t>
  </si>
  <si>
    <t>Total:</t>
  </si>
  <si>
    <t>Price:</t>
  </si>
  <si>
    <t>Value:</t>
  </si>
  <si>
    <t>Gas Total:</t>
  </si>
  <si>
    <t>Scratch Off Total:</t>
  </si>
  <si>
    <t>Lotto M/C Net Sales:</t>
  </si>
  <si>
    <t>Lotto Grand Total:</t>
  </si>
  <si>
    <t>Total Gas [Gallon]</t>
  </si>
  <si>
    <t>Additional Cash Paid Out:</t>
  </si>
  <si>
    <t>Total Credit / Debit</t>
  </si>
  <si>
    <t>TOTAL</t>
  </si>
  <si>
    <t>DAY</t>
  </si>
  <si>
    <t>GAS GALLON</t>
  </si>
  <si>
    <t>GALLON SOLD</t>
  </si>
  <si>
    <t>LOTTO</t>
  </si>
  <si>
    <t>SALES TAX</t>
  </si>
  <si>
    <t>INSIDE SALES</t>
  </si>
  <si>
    <t>NET SALES</t>
  </si>
  <si>
    <t>SALES</t>
  </si>
  <si>
    <t>GAS</t>
  </si>
  <si>
    <t>COMMISSIONS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</si>
  <si>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</si>
  <si>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</si>
  <si>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</si>
  <si>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</si>
  <si>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</si>
  <si>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</si>
  <si>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</si>
  <si>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</si>
  <si>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</si>
  <si>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</si>
  <si>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</si>
  <si>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</si>
  <si>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</si>
  <si>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</si>
  <si>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</si>
  <si>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COMMISSION</t>
  </si>
  <si>
    <t>Column62</t>
  </si>
  <si>
    <t>PHONECD</t>
  </si>
  <si>
    <t>Column82</t>
  </si>
  <si>
    <t>NET SALE COMP</t>
  </si>
  <si>
    <t>Column23</t>
  </si>
  <si>
    <t>Column24</t>
  </si>
  <si>
    <t>GROCERY (30%)</t>
  </si>
  <si>
    <t>Column232</t>
  </si>
  <si>
    <t>PURCHASES</t>
  </si>
  <si>
    <t>PHONECDS</t>
  </si>
  <si>
    <t>BEER</t>
  </si>
  <si>
    <t>GROCERY</t>
  </si>
  <si>
    <t>Column132</t>
  </si>
  <si>
    <t>Column133</t>
  </si>
  <si>
    <t>CIG + TOB</t>
  </si>
  <si>
    <t>OTHERS</t>
  </si>
  <si>
    <t>Column134</t>
  </si>
  <si>
    <t>SODA</t>
  </si>
  <si>
    <t>ATM</t>
  </si>
  <si>
    <t>BEGINNING INVENTORY</t>
  </si>
  <si>
    <t>TOTAL PURCHASE</t>
  </si>
  <si>
    <t>INVENTORY SOLD OUT</t>
  </si>
  <si>
    <t>ENDING INVENTORY</t>
  </si>
  <si>
    <t>CIG/TOBACCO</t>
  </si>
  <si>
    <t>INVENTORY BY ITEMS</t>
  </si>
  <si>
    <t>CHIPS</t>
  </si>
  <si>
    <t>CANDIES</t>
  </si>
  <si>
    <t>WATER</t>
  </si>
  <si>
    <t>WEEK</t>
  </si>
  <si>
    <t>TOTAL BEGINNING INVENTORY</t>
  </si>
  <si>
    <t>TOTAL SOLD ITEMS</t>
  </si>
  <si>
    <t>TOTAL ENDING INVENTORY</t>
  </si>
  <si>
    <t>TOTAL PURCHASES</t>
  </si>
  <si>
    <t>Column42</t>
  </si>
  <si>
    <t>% SALE</t>
  </si>
  <si>
    <t>#</t>
  </si>
  <si>
    <t>ITEMS</t>
  </si>
  <si>
    <t>HI</t>
  </si>
  <si>
    <t>TOTAL SOLD</t>
  </si>
  <si>
    <t xml:space="preserve">TOTAL ENDING </t>
  </si>
  <si>
    <t>Column135</t>
  </si>
  <si>
    <t>Column1342</t>
  </si>
  <si>
    <t>OAK FARMS</t>
  </si>
  <si>
    <t>Column136</t>
  </si>
  <si>
    <t>OAKFARMS</t>
  </si>
  <si>
    <t>Column137</t>
  </si>
  <si>
    <t>ICE CREAM</t>
  </si>
  <si>
    <t>BEGINNING</t>
  </si>
  <si>
    <t>PRICE</t>
  </si>
  <si>
    <t>VALUE</t>
  </si>
  <si>
    <t>GAS TOTAL</t>
  </si>
  <si>
    <t>TOTAL CR/DR</t>
  </si>
  <si>
    <t>REGULAR</t>
  </si>
  <si>
    <t>DIESEL</t>
  </si>
  <si>
    <t>ENDING</t>
  </si>
  <si>
    <t xml:space="preserve">TOTAL </t>
  </si>
  <si>
    <t>SUPER</t>
  </si>
  <si>
    <t>SPECIAL</t>
  </si>
  <si>
    <t>Total</t>
  </si>
  <si>
    <t>M</t>
  </si>
  <si>
    <t>E</t>
  </si>
  <si>
    <t>N</t>
  </si>
  <si>
    <t>No of Sales</t>
  </si>
  <si>
    <t>Day</t>
  </si>
  <si>
    <t>Ave Sales</t>
  </si>
  <si>
    <t>W1</t>
  </si>
  <si>
    <t>W2</t>
  </si>
  <si>
    <t>W3</t>
  </si>
  <si>
    <t>W4</t>
  </si>
  <si>
    <t>W5</t>
  </si>
  <si>
    <t>TOTAL NET SALES</t>
  </si>
  <si>
    <t>PHONE CARDS SALES</t>
  </si>
  <si>
    <t>WEEK 1</t>
  </si>
  <si>
    <t>ITEMIZED PROFIT</t>
  </si>
  <si>
    <t>Grocery [30%]</t>
  </si>
  <si>
    <t>Lottery [5%]</t>
  </si>
  <si>
    <t>Phone Cards</t>
  </si>
  <si>
    <t>Others</t>
  </si>
  <si>
    <t>Lottery Sales</t>
  </si>
  <si>
    <t>Other Sales</t>
  </si>
  <si>
    <t>TOTAL GROSS PROFIT</t>
  </si>
  <si>
    <t xml:space="preserve">WEEK </t>
  </si>
  <si>
    <t>Total Expenses</t>
  </si>
  <si>
    <t>Profit</t>
  </si>
  <si>
    <t>Pullout</t>
  </si>
  <si>
    <t>Gross Profit</t>
  </si>
  <si>
    <t>Other Rebate [LS/GM/CIG.]</t>
  </si>
  <si>
    <t>COGS</t>
  </si>
  <si>
    <t>Total Purchase</t>
  </si>
  <si>
    <t>Net Profit</t>
  </si>
  <si>
    <t>INCOME</t>
  </si>
  <si>
    <t>Rent</t>
  </si>
  <si>
    <t>Insurance</t>
  </si>
  <si>
    <t>Aapa</t>
  </si>
  <si>
    <t>Gas</t>
  </si>
  <si>
    <t>EXPENSES</t>
  </si>
  <si>
    <t>Employee Salary</t>
  </si>
  <si>
    <t>Utilities-Electric</t>
  </si>
  <si>
    <t>Utilities-Water/Sewer</t>
  </si>
  <si>
    <t>Repairs &amp; Maintenance</t>
  </si>
  <si>
    <t>Bookeeping</t>
  </si>
  <si>
    <t>NET INCOME</t>
  </si>
  <si>
    <t>WEEK 2</t>
  </si>
  <si>
    <t>WEEK 3</t>
  </si>
  <si>
    <t>WEEK 4</t>
  </si>
  <si>
    <t>WEEK 5</t>
  </si>
  <si>
    <t>DAYS</t>
  </si>
  <si>
    <t>TANK 1</t>
  </si>
  <si>
    <t>TANK 2</t>
  </si>
  <si>
    <t>TANK 3</t>
  </si>
  <si>
    <t>TOTAL TANK1-PURCHASE</t>
  </si>
  <si>
    <t>TOTAL TANK2-PURCHASE</t>
  </si>
  <si>
    <t>TOTAL TANK3-PURCHASE</t>
  </si>
  <si>
    <t>Week 1</t>
  </si>
  <si>
    <t>Total Sales</t>
  </si>
  <si>
    <t>Week 2</t>
  </si>
  <si>
    <t>Week 3</t>
  </si>
  <si>
    <t>Week 4</t>
  </si>
  <si>
    <t>Week 5</t>
  </si>
  <si>
    <t>Total Gross Profit</t>
  </si>
  <si>
    <t>Total Net Profit</t>
  </si>
  <si>
    <t>EXPENSE</t>
  </si>
  <si>
    <t>Payroll Expense</t>
  </si>
  <si>
    <t>Utilities- Electric</t>
  </si>
  <si>
    <t>Bookkeeping</t>
  </si>
  <si>
    <t>Cost of Goods Sold/Purchase</t>
  </si>
  <si>
    <t>Total COGS</t>
  </si>
  <si>
    <t>Sales</t>
  </si>
  <si>
    <t>Total Expense</t>
  </si>
  <si>
    <t>Monday</t>
  </si>
  <si>
    <t>Thursday</t>
  </si>
  <si>
    <t>Friday</t>
  </si>
  <si>
    <t>Saturday</t>
  </si>
  <si>
    <t>Sunday</t>
  </si>
  <si>
    <t>POS SALE</t>
  </si>
  <si>
    <t>DIFFERENCE</t>
  </si>
  <si>
    <t>Gas Sales</t>
  </si>
  <si>
    <t>tax</t>
  </si>
  <si>
    <t>help</t>
  </si>
  <si>
    <t>imtious pay</t>
  </si>
  <si>
    <t>Mustafa</t>
  </si>
  <si>
    <t>Imtiaz</t>
  </si>
  <si>
    <t>Fahim</t>
  </si>
  <si>
    <t>Date</t>
  </si>
  <si>
    <t>Merchandise Sales</t>
  </si>
  <si>
    <t>Lotto Sales</t>
  </si>
  <si>
    <t>Number</t>
  </si>
  <si>
    <t>Tuesday</t>
  </si>
  <si>
    <t>Amusement In</t>
  </si>
  <si>
    <t>Employee 1</t>
  </si>
  <si>
    <t>Employee 2</t>
  </si>
  <si>
    <t>Employee 3</t>
  </si>
  <si>
    <t>Employe 1 Sales</t>
  </si>
  <si>
    <t>Employe 2 Sales</t>
  </si>
  <si>
    <t>Employe 3 Sales</t>
  </si>
  <si>
    <t>Sales Tax In</t>
  </si>
  <si>
    <t>Amuse In</t>
  </si>
  <si>
    <t>Amuse Out</t>
  </si>
  <si>
    <t>Grand Total</t>
  </si>
  <si>
    <t>Sheet</t>
  </si>
  <si>
    <t>EBT</t>
  </si>
  <si>
    <t>Gold Coin</t>
  </si>
  <si>
    <t>BS Gas</t>
  </si>
  <si>
    <t>Merchandise</t>
  </si>
  <si>
    <t>Expense Categories</t>
  </si>
  <si>
    <t>Lotto EFT</t>
  </si>
  <si>
    <t>Employee Salaries</t>
  </si>
  <si>
    <t>Management Benefit</t>
  </si>
  <si>
    <t>PWI Gas Purchase</t>
  </si>
  <si>
    <t>PWI Rent</t>
  </si>
  <si>
    <t>Amusement Out</t>
  </si>
  <si>
    <t>Operating Expense</t>
  </si>
  <si>
    <t>Do not Consider</t>
  </si>
  <si>
    <t>Dollar Amount</t>
  </si>
  <si>
    <t>Expense Description</t>
  </si>
  <si>
    <t>Saving Benefit</t>
  </si>
  <si>
    <t>Expense Category</t>
  </si>
  <si>
    <t>Comment</t>
  </si>
  <si>
    <t>budweister</t>
  </si>
  <si>
    <t>TX JASMINE</t>
  </si>
  <si>
    <t>check 1044</t>
  </si>
  <si>
    <t>CHECK 1046</t>
  </si>
  <si>
    <t>PWI GAS</t>
  </si>
  <si>
    <t>(+/-)</t>
  </si>
  <si>
    <t>Total Sale</t>
  </si>
  <si>
    <t>Taxable</t>
  </si>
  <si>
    <t>Total Lotto Sale</t>
  </si>
  <si>
    <t>Total Lotto Paid-Out</t>
  </si>
  <si>
    <t>Total Lotto Balance</t>
  </si>
  <si>
    <t>Daily Rent</t>
  </si>
  <si>
    <t>Credit Card sales</t>
  </si>
  <si>
    <t>Cumilative</t>
  </si>
  <si>
    <t>Taxable Sale</t>
  </si>
  <si>
    <t>Total Tax</t>
  </si>
  <si>
    <t>Expenses</t>
  </si>
  <si>
    <t>Cigarettes</t>
  </si>
  <si>
    <t>Silver Eagle</t>
  </si>
  <si>
    <t>Gasoline</t>
  </si>
  <si>
    <t>Cocacola</t>
  </si>
  <si>
    <t>Dr.Pepper</t>
  </si>
  <si>
    <t>Pepsico</t>
  </si>
  <si>
    <t>Sysco</t>
  </si>
  <si>
    <t>Super</t>
  </si>
  <si>
    <t>Name</t>
  </si>
  <si>
    <t>Purchase</t>
  </si>
  <si>
    <t>Houston 
Distibutors</t>
  </si>
  <si>
    <t>Inches</t>
  </si>
  <si>
    <t>Jasmin</t>
  </si>
  <si>
    <t>FUEL INVENTORY CONTROL REPORT</t>
  </si>
  <si>
    <t>FACILITY NAME:</t>
  </si>
  <si>
    <t>Sunmart 317</t>
  </si>
  <si>
    <t>MONTH/YEAR:</t>
  </si>
  <si>
    <t>JANUARY</t>
  </si>
  <si>
    <t>FACILITY ID #:</t>
  </si>
  <si>
    <t>TANK SIZE:</t>
  </si>
  <si>
    <t>FUEL TYPE:</t>
  </si>
  <si>
    <t>DATE</t>
  </si>
  <si>
    <t>OPEN INVENTORY</t>
  </si>
  <si>
    <t>DELIVERY</t>
  </si>
  <si>
    <t>DAILY SALES</t>
  </si>
  <si>
    <t>BOOK INVENTORY</t>
  </si>
  <si>
    <t>CLOSING INVENTORY</t>
  </si>
  <si>
    <t>DAILY OVER/SHORT</t>
  </si>
  <si>
    <t>CUMULATIVE OVER/SHORT</t>
  </si>
  <si>
    <t>Gallons</t>
  </si>
  <si>
    <t>TOTAL SALES:</t>
  </si>
  <si>
    <t>TOTAL OVER/SHORT:</t>
  </si>
  <si>
    <t>LEAK TEST:</t>
  </si>
  <si>
    <t>WATER CHECK (INCHES):</t>
  </si>
  <si>
    <t>PASS / FAIL:</t>
  </si>
  <si>
    <t>NOTE: Monthly over/short should not be greater than 1% plus 130 gallons for compliance with state regulations. Notify the TCEQ Regional Office within 24 hours if your over/short exceeds this amount.</t>
  </si>
  <si>
    <t>Gas Tank Sales</t>
  </si>
  <si>
    <t>Closing Inventory</t>
  </si>
  <si>
    <t>TotalGassolin Sale (Galion)</t>
  </si>
  <si>
    <t>TotalGassolin Sale$</t>
  </si>
  <si>
    <t>Lotto Machine and Scraches:</t>
  </si>
  <si>
    <t>Month Starting Gas Inventory</t>
  </si>
  <si>
    <t>Gas Delivery</t>
  </si>
  <si>
    <t>Beg Inches</t>
  </si>
  <si>
    <t>End Inches</t>
  </si>
  <si>
    <t>Days</t>
  </si>
  <si>
    <t>Montly Report</t>
  </si>
  <si>
    <t>TotalGassolin Sale (Gallon)</t>
  </si>
  <si>
    <t>Tax</t>
  </si>
  <si>
    <t>Inside Sales</t>
  </si>
  <si>
    <t xml:space="preserve">Cumilitive </t>
  </si>
  <si>
    <t>EFT</t>
  </si>
  <si>
    <t>Fritoly</t>
  </si>
  <si>
    <t>Cash &amp; Carry</t>
  </si>
  <si>
    <t xml:space="preserve">Cumillitive </t>
  </si>
  <si>
    <t>Cumilitive</t>
  </si>
  <si>
    <t>Cash &amp; carry</t>
  </si>
  <si>
    <t xml:space="preserve">Cumulitive </t>
  </si>
  <si>
    <t>GM Hold</t>
  </si>
  <si>
    <t>Salim</t>
  </si>
  <si>
    <t>Aziz</t>
  </si>
  <si>
    <t>Krishna</t>
  </si>
  <si>
    <t>Woodbridge Mini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</si>
</sst>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0.0000"/>
    <numFmt numFmtId="166" formatCode="0.000"/>
    <numFmt numFmtId="167" formatCode="0.00000"/>
    <numFmt numFmtId="168" formatCode="0.0"/>
    <numFmt numFmtId="169" formatCode="&quot;$&quot;#,##0.00"/>
  </numFmts>
  <fonts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7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542222357860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2" tint="-0.899960325937681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</fills>
  <borders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theme="3"/>
      </left>
      <right style="thick">
        <color theme="3"/>
      </right>
      <top style="thick">
        <color theme="3"/>
      </top>
      <bottom style="thick">
        <color theme="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 style="thin">
        <color auto="1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auto="1"/>
      </right>
      <top style="thick">
        <color theme="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</cellStyleXfs>
  <cellXfs>
    <xf numFmtId="0" fontId="0" fillId="0" borderId="0" xfId="0"/>
    <xf numFmtId="0" fontId="2" fillId="0" borderId="0" xfId="0" applyFont="1" applyAlignment="1">
      <alignment horizontal="center"/>
    </xf>
    <xf numFmtId="0" fontId="2" fillId="21" borderId="0" xfId="0" applyFont="1" applyFill="1" applyAlignment="1">
      <alignment horizontal="center"/>
    </xf>
    <xf numFmtId="0" fontId="0" fillId="15" borderId="0" xfId="0" applyFill="1" applyAlignment="1">
      <alignment horizontal="left" vertical="center"/>
    </xf>
    <xf numFmtId="0" fontId="2" fillId="0" borderId="0" xfId="0" applyFont="1" applyAlignment="1">
      <alignment horizontal="left"/>
    </xf>
    <xf numFmtId="2" fontId="4" fillId="2" borderId="1" xfId="0" applyNumberFormat="1" applyFont="1" applyFill="1" applyBorder="1" applyAlignment="1">
      <alignment horizontal="left" vertical="center"/>
    </xf>
    <xf numFmtId="2" fontId="4" fillId="2" borderId="2" xfId="0" applyNumberFormat="1" applyFont="1" applyFill="1" applyBorder="1" applyAlignment="1">
      <alignment horizontal="left" vertical="center"/>
    </xf>
    <xf numFmtId="2" fontId="4" fillId="2" borderId="3" xfId="0" applyNumberFormat="1" applyFont="1" applyFill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left" vertical="center"/>
    </xf>
    <xf numFmtId="0" fontId="3" fillId="3" borderId="0" xfId="0" applyFont="1" applyFill="1" applyAlignment="1">
      <alignment wrapText="1"/>
    </xf>
    <xf numFmtId="2" fontId="3" fillId="3" borderId="0" xfId="0" applyNumberFormat="1" applyFont="1" applyFill="1" applyAlignment="1">
      <alignment wrapText="1"/>
    </xf>
    <xf numFmtId="2" fontId="0" fillId="0" borderId="0" xfId="0" applyNumberFormat="1"/>
    <xf numFmtId="0" fontId="3" fillId="3" borderId="4" xfId="0" applyFont="1" applyFill="1" applyBorder="1" applyAlignment="1">
      <alignment wrapText="1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2" fontId="1" fillId="3" borderId="0" xfId="0" applyNumberFormat="1" applyFont="1" applyFill="1" applyAlignment="1">
      <alignment horizontal="center"/>
    </xf>
    <xf numFmtId="0" fontId="0" fillId="0" borderId="5" xfId="0" applyBorder="1"/>
    <xf numFmtId="0" fontId="0" fillId="4" borderId="6" xfId="0" applyFill="1" applyBorder="1"/>
    <xf numFmtId="0" fontId="0" fillId="0" borderId="7" xfId="0" applyBorder="1"/>
    <xf numFmtId="0" fontId="2" fillId="0" borderId="7" xfId="0" applyFont="1" applyBorder="1" applyAlignment="1">
      <alignment horizontal="center"/>
    </xf>
    <xf numFmtId="2" fontId="0" fillId="0" borderId="4" xfId="0" applyNumberFormat="1" applyBorder="1"/>
    <xf numFmtId="0" fontId="0" fillId="0" borderId="8" xfId="0" applyBorder="1"/>
    <xf numFmtId="0" fontId="2" fillId="0" borderId="8" xfId="0" applyFont="1" applyBorder="1" applyAlignment="1">
      <alignment horizontal="center"/>
    </xf>
    <xf numFmtId="0" fontId="0" fillId="0" borderId="9" xfId="0" applyBorder="1"/>
    <xf numFmtId="0" fontId="0" fillId="5" borderId="7" xfId="0" applyFill="1" applyBorder="1"/>
    <xf numFmtId="0" fontId="7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7" fillId="6" borderId="10" xfId="0" applyFont="1" applyFill="1" applyBorder="1" applyAlignment="1">
      <alignment horizontal="center" wrapText="1"/>
    </xf>
    <xf numFmtId="0" fontId="0" fillId="0" borderId="11" xfId="0" applyBorder="1"/>
    <xf numFmtId="0" fontId="0" fillId="7" borderId="11" xfId="0" applyFill="1" applyBorder="1"/>
    <xf numFmtId="0" fontId="0" fillId="8" borderId="0" xfId="0" applyFill="1" applyAlignment="1">
      <alignment horizontal="center" wrapText="1"/>
    </xf>
    <xf numFmtId="0" fontId="7" fillId="8" borderId="0" xfId="0" applyFont="1" applyFill="1" applyAlignment="1">
      <alignment horizontal="center" wrapText="1"/>
    </xf>
    <xf numFmtId="0" fontId="0" fillId="8" borderId="11" xfId="0" applyFill="1" applyBorder="1"/>
    <xf numFmtId="0" fontId="0" fillId="8" borderId="0" xfId="0" applyFill="1"/>
    <xf numFmtId="4" fontId="1" fillId="8" borderId="0" xfId="0" applyNumberFormat="1" applyFont="1" applyFill="1"/>
    <xf numFmtId="4" fontId="0" fillId="7" borderId="11" xfId="0" applyNumberFormat="1" applyFill="1" applyBorder="1"/>
    <xf numFmtId="4" fontId="0" fillId="8" borderId="11" xfId="0" applyNumberFormat="1" applyFill="1" applyBorder="1"/>
    <xf numFmtId="4" fontId="0" fillId="9" borderId="11" xfId="0" applyNumberFormat="1" applyFill="1" applyBorder="1"/>
    <xf numFmtId="4" fontId="0" fillId="10" borderId="11" xfId="0" applyNumberFormat="1" applyFill="1" applyBorder="1"/>
    <xf numFmtId="4" fontId="0" fillId="9" borderId="11" xfId="1" applyNumberFormat="1" applyFont="1" applyFill="1" applyBorder="1"/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8" borderId="0" xfId="0" applyFont="1" applyFill="1" applyAlignment="1">
      <alignment horizontal="right" vertical="center" wrapText="1"/>
    </xf>
    <xf numFmtId="4" fontId="0" fillId="0" borderId="0" xfId="0" applyNumberFormat="1"/>
    <xf numFmtId="0" fontId="1" fillId="8" borderId="12" xfId="0" applyFont="1" applyFill="1" applyBorder="1" applyAlignment="1">
      <alignment horizontal="right"/>
    </xf>
    <xf numFmtId="0" fontId="1" fillId="8" borderId="13" xfId="0" applyFont="1" applyFill="1" applyBorder="1" applyAlignment="1">
      <alignment horizontal="right" wrapText="1"/>
    </xf>
    <xf numFmtId="0" fontId="1" fillId="8" borderId="13" xfId="0" applyFont="1" applyFill="1" applyBorder="1" applyAlignment="1">
      <alignment horizontal="right" vertical="center" wrapText="1"/>
    </xf>
    <xf numFmtId="0" fontId="1" fillId="8" borderId="14" xfId="0" applyFont="1" applyFill="1" applyBorder="1" applyAlignment="1">
      <alignment horizontal="right" vertical="center" wrapText="1"/>
    </xf>
    <xf numFmtId="0" fontId="7" fillId="8" borderId="8" xfId="0" applyFont="1" applyFill="1" applyBorder="1" applyAlignment="1">
      <alignment horizontal="right"/>
    </xf>
    <xf numFmtId="0" fontId="7" fillId="8" borderId="0" xfId="0" applyFont="1" applyFill="1" applyAlignment="1">
      <alignment horizontal="right" wrapText="1"/>
    </xf>
    <xf numFmtId="0" fontId="7" fillId="8" borderId="10" xfId="0" applyFont="1" applyFill="1" applyBorder="1" applyAlignment="1">
      <alignment horizontal="right" vertical="center" wrapText="1"/>
    </xf>
    <xf numFmtId="4" fontId="0" fillId="0" borderId="10" xfId="0" applyNumberFormat="1" applyBorder="1"/>
    <xf numFmtId="4" fontId="0" fillId="0" borderId="15" xfId="0" applyNumberFormat="1" applyBorder="1"/>
    <xf numFmtId="4" fontId="0" fillId="0" borderId="16" xfId="0" applyNumberFormat="1" applyBorder="1"/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4" fontId="9" fillId="8" borderId="11" xfId="0" applyNumberFormat="1" applyFont="1" applyFill="1" applyBorder="1"/>
    <xf numFmtId="0" fontId="9" fillId="8" borderId="11" xfId="0" applyFont="1" applyFill="1" applyBorder="1"/>
    <xf numFmtId="0" fontId="7" fillId="8" borderId="0" xfId="0" applyFont="1" applyFill="1" applyAlignment="1">
      <alignment horizontal="right" vertical="center"/>
    </xf>
    <xf numFmtId="0" fontId="7" fillId="8" borderId="0" xfId="0" applyFont="1" applyFill="1" applyAlignment="1">
      <alignment horizontal="left" vertical="center"/>
    </xf>
    <xf numFmtId="0" fontId="0" fillId="11" borderId="0" xfId="0" applyFill="1"/>
    <xf numFmtId="0" fontId="0" fillId="11" borderId="0" xfId="0" applyFill="1" applyAlignment="1">
      <alignment horizontal="right"/>
    </xf>
    <xf numFmtId="39" fontId="0" fillId="11" borderId="0" xfId="1" applyNumberFormat="1" applyFont="1" applyFill="1"/>
    <xf numFmtId="0" fontId="0" fillId="12" borderId="0" xfId="0" applyFill="1"/>
    <xf numFmtId="0" fontId="0" fillId="13" borderId="0" xfId="0" applyFill="1"/>
    <xf numFmtId="0" fontId="0" fillId="13" borderId="0" xfId="0" applyFill="1" applyAlignment="1">
      <alignment horizontal="right"/>
    </xf>
    <xf numFmtId="39" fontId="0" fillId="13" borderId="0" xfId="1" applyNumberFormat="1" applyFont="1" applyFill="1"/>
    <xf numFmtId="4" fontId="0" fillId="0" borderId="8" xfId="0" applyNumberFormat="1" applyBorder="1"/>
    <xf numFmtId="0" fontId="0" fillId="14" borderId="0" xfId="0" applyFill="1"/>
    <xf numFmtId="2" fontId="0" fillId="14" borderId="0" xfId="0" applyNumberFormat="1" applyFill="1"/>
    <xf numFmtId="0" fontId="0" fillId="15" borderId="0" xfId="0" applyFill="1"/>
    <xf numFmtId="0" fontId="2" fillId="14" borderId="0" xfId="0" applyFont="1" applyFill="1" applyAlignment="1">
      <alignment horizontal="right"/>
    </xf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0" fillId="0" borderId="4" xfId="1" applyFont="1" applyBorder="1"/>
    <xf numFmtId="43" fontId="0" fillId="0" borderId="5" xfId="1" applyFont="1" applyBorder="1"/>
    <xf numFmtId="43" fontId="0" fillId="0" borderId="8" xfId="1" applyFont="1" applyBorder="1"/>
    <xf numFmtId="43" fontId="0" fillId="0" borderId="0" xfId="1" applyFont="1"/>
    <xf numFmtId="43" fontId="1" fillId="16" borderId="8" xfId="1" applyFont="1" applyFill="1" applyBorder="1"/>
    <xf numFmtId="43" fontId="1" fillId="16" borderId="0" xfId="1" applyFont="1" applyFill="1" applyBorder="1"/>
    <xf numFmtId="43" fontId="0" fillId="0" borderId="0" xfId="1" applyFont="1" applyFill="1"/>
    <xf numFmtId="43" fontId="3" fillId="16" borderId="8" xfId="1" applyFont="1" applyFill="1" applyBorder="1"/>
    <xf numFmtId="43" fontId="3" fillId="16" borderId="0" xfId="1" applyFont="1" applyFill="1" applyBorder="1"/>
    <xf numFmtId="43" fontId="0" fillId="16" borderId="8" xfId="1" applyFont="1" applyFill="1" applyBorder="1"/>
    <xf numFmtId="43" fontId="0" fillId="16" borderId="0" xfId="1" applyFont="1" applyFill="1" applyBorder="1"/>
    <xf numFmtId="43" fontId="0" fillId="12" borderId="0" xfId="1" applyFont="1" applyFill="1" applyBorder="1"/>
    <xf numFmtId="43" fontId="0" fillId="12" borderId="4" xfId="1" applyFont="1" applyFill="1" applyBorder="1"/>
    <xf numFmtId="43" fontId="0" fillId="12" borderId="5" xfId="1" applyFont="1" applyFill="1" applyBorder="1"/>
    <xf numFmtId="43" fontId="1" fillId="12" borderId="8" xfId="1" applyFont="1" applyFill="1" applyBorder="1"/>
    <xf numFmtId="43" fontId="1" fillId="12" borderId="0" xfId="1" applyFont="1" applyFill="1" applyBorder="1"/>
    <xf numFmtId="43" fontId="1" fillId="12" borderId="10" xfId="1" applyFont="1" applyFill="1" applyBorder="1"/>
    <xf numFmtId="0" fontId="0" fillId="12" borderId="12" xfId="0" applyFill="1" applyBorder="1"/>
    <xf numFmtId="43" fontId="0" fillId="12" borderId="13" xfId="1" applyFont="1" applyFill="1" applyBorder="1" applyAlignment="1">
      <alignment horizontal="center"/>
    </xf>
    <xf numFmtId="43" fontId="0" fillId="12" borderId="13" xfId="1" applyFont="1" applyFill="1" applyBorder="1"/>
    <xf numFmtId="43" fontId="1" fillId="12" borderId="13" xfId="1" applyFont="1" applyFill="1" applyBorder="1"/>
    <xf numFmtId="43" fontId="1" fillId="12" borderId="14" xfId="1" applyFont="1" applyFill="1" applyBorder="1"/>
    <xf numFmtId="0" fontId="0" fillId="17" borderId="17" xfId="0" applyFill="1" applyBorder="1"/>
    <xf numFmtId="43" fontId="0" fillId="17" borderId="18" xfId="1" applyFont="1" applyFill="1" applyBorder="1" applyAlignment="1">
      <alignment horizontal="center"/>
    </xf>
    <xf numFmtId="0" fontId="0" fillId="12" borderId="7" xfId="0" applyFill="1" applyBorder="1"/>
    <xf numFmtId="2" fontId="0" fillId="12" borderId="5" xfId="1" applyNumberFormat="1" applyFont="1" applyFill="1" applyBorder="1" applyAlignment="1">
      <alignment horizontal="center"/>
    </xf>
    <xf numFmtId="2" fontId="0" fillId="12" borderId="0" xfId="1" applyNumberFormat="1" applyFont="1" applyFill="1" applyBorder="1"/>
    <xf numFmtId="4" fontId="1" fillId="12" borderId="0" xfId="1" applyNumberFormat="1" applyFont="1" applyFill="1" applyBorder="1"/>
    <xf numFmtId="0" fontId="0" fillId="18" borderId="7" xfId="0" applyFill="1" applyBorder="1"/>
    <xf numFmtId="2" fontId="0" fillId="18" borderId="5" xfId="1" applyNumberFormat="1" applyFont="1" applyFill="1" applyBorder="1" applyAlignment="1">
      <alignment horizontal="center"/>
    </xf>
    <xf numFmtId="2" fontId="0" fillId="18" borderId="0" xfId="1" applyNumberFormat="1" applyFont="1" applyFill="1" applyBorder="1"/>
    <xf numFmtId="43" fontId="0" fillId="18" borderId="0" xfId="1" applyFont="1" applyFill="1" applyBorder="1"/>
    <xf numFmtId="43" fontId="0" fillId="18" borderId="4" xfId="1" applyFont="1" applyFill="1" applyBorder="1"/>
    <xf numFmtId="43" fontId="0" fillId="18" borderId="5" xfId="1" applyFont="1" applyFill="1" applyBorder="1"/>
    <xf numFmtId="43" fontId="3" fillId="18" borderId="8" xfId="1" applyFont="1" applyFill="1" applyBorder="1"/>
    <xf numFmtId="43" fontId="3" fillId="18" borderId="0" xfId="1" applyFont="1" applyFill="1" applyBorder="1"/>
    <xf numFmtId="43" fontId="1" fillId="18" borderId="0" xfId="1" applyFont="1" applyFill="1" applyBorder="1"/>
    <xf numFmtId="4" fontId="1" fillId="18" borderId="0" xfId="1" applyNumberFormat="1" applyFont="1" applyFill="1" applyBorder="1"/>
    <xf numFmtId="43" fontId="1" fillId="18" borderId="10" xfId="1" applyFont="1" applyFill="1" applyBorder="1"/>
    <xf numFmtId="43" fontId="0" fillId="17" borderId="18" xfId="1" applyFont="1" applyFill="1" applyBorder="1" applyAlignment="1">
      <alignment horizontal="right"/>
    </xf>
    <xf numFmtId="43" fontId="0" fillId="12" borderId="8" xfId="1" applyFont="1" applyFill="1" applyBorder="1"/>
    <xf numFmtId="4" fontId="0" fillId="12" borderId="0" xfId="1" applyNumberFormat="1" applyFont="1" applyFill="1" applyBorder="1"/>
    <xf numFmtId="43" fontId="0" fillId="12" borderId="10" xfId="1" applyFont="1" applyFill="1" applyBorder="1"/>
    <xf numFmtId="0" fontId="2" fillId="19" borderId="0" xfId="0" applyFont="1" applyFill="1" applyAlignment="1">
      <alignment horizontal="right"/>
    </xf>
    <xf numFmtId="43" fontId="0" fillId="19" borderId="0" xfId="1" applyFont="1" applyFill="1"/>
    <xf numFmtId="0" fontId="0" fillId="17" borderId="0" xfId="0" applyFill="1"/>
    <xf numFmtId="43" fontId="0" fillId="17" borderId="0" xfId="1" applyFont="1" applyFill="1"/>
    <xf numFmtId="43" fontId="3" fillId="8" borderId="0" xfId="0" applyNumberFormat="1" applyFont="1" applyFill="1"/>
    <xf numFmtId="0" fontId="3" fillId="8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/>
    <xf numFmtId="0" fontId="8" fillId="19" borderId="0" xfId="0" applyFont="1" applyFill="1" applyAlignment="1">
      <alignment horizontal="right"/>
    </xf>
    <xf numFmtId="43" fontId="0" fillId="20" borderId="0" xfId="1" applyFont="1" applyFill="1"/>
    <xf numFmtId="0" fontId="8" fillId="17" borderId="0" xfId="0" applyFont="1" applyFill="1" applyAlignment="1">
      <alignment horizontal="right"/>
    </xf>
    <xf numFmtId="0" fontId="0" fillId="19" borderId="0" xfId="0" applyFill="1" applyAlignment="1">
      <alignment horizontal="right"/>
    </xf>
    <xf numFmtId="0" fontId="6" fillId="0" borderId="0" xfId="0" applyFont="1" applyAlignment="1">
      <alignment horizontal="right" vertical="center" wrapText="1"/>
    </xf>
    <xf numFmtId="39" fontId="0" fillId="0" borderId="0" xfId="1" applyNumberFormat="1" applyFont="1"/>
    <xf numFmtId="39" fontId="0" fillId="0" borderId="0" xfId="0" applyNumberFormat="1"/>
    <xf numFmtId="0" fontId="6" fillId="11" borderId="0" xfId="0" applyFont="1" applyFill="1" applyAlignment="1">
      <alignment horizontal="right" vertical="center" wrapText="1"/>
    </xf>
    <xf numFmtId="0" fontId="0" fillId="0" borderId="18" xfId="0" applyBorder="1"/>
    <xf numFmtId="39" fontId="0" fillId="0" borderId="18" xfId="1" applyNumberFormat="1" applyFont="1" applyBorder="1"/>
    <xf numFmtId="39" fontId="0" fillId="0" borderId="18" xfId="0" applyNumberFormat="1" applyBorder="1"/>
    <xf numFmtId="4" fontId="0" fillId="0" borderId="0" xfId="1" applyNumberFormat="1" applyFont="1"/>
    <xf numFmtId="4" fontId="0" fillId="0" borderId="18" xfId="0" applyNumberFormat="1" applyBorder="1"/>
    <xf numFmtId="43" fontId="0" fillId="0" borderId="0" xfId="0" applyNumberFormat="1"/>
    <xf numFmtId="43" fontId="0" fillId="0" borderId="18" xfId="0" applyNumberFormat="1" applyBorder="1"/>
    <xf numFmtId="0" fontId="2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0" fillId="22" borderId="19" xfId="0" applyFill="1" applyBorder="1"/>
    <xf numFmtId="0" fontId="3" fillId="14" borderId="20" xfId="0" applyFont="1" applyFill="1" applyBorder="1"/>
    <xf numFmtId="0" fontId="3" fillId="14" borderId="21" xfId="0" applyFont="1" applyFill="1" applyBorder="1"/>
    <xf numFmtId="0" fontId="2" fillId="0" borderId="2" xfId="0" applyFont="1" applyBorder="1" applyAlignment="1">
      <alignment horizontal="right"/>
    </xf>
    <xf numFmtId="2" fontId="0" fillId="0" borderId="2" xfId="0" applyNumberFormat="1" applyBorder="1"/>
    <xf numFmtId="0" fontId="2" fillId="23" borderId="2" xfId="0" applyFont="1" applyFill="1" applyBorder="1" applyAlignment="1">
      <alignment horizontal="right"/>
    </xf>
    <xf numFmtId="2" fontId="0" fillId="23" borderId="2" xfId="0" applyNumberFormat="1" applyFill="1" applyBorder="1"/>
    <xf numFmtId="0" fontId="0" fillId="23" borderId="2" xfId="0" applyFill="1" applyBorder="1"/>
    <xf numFmtId="0" fontId="2" fillId="0" borderId="22" xfId="0" applyFont="1" applyBorder="1" applyAlignment="1">
      <alignment horizontal="right"/>
    </xf>
    <xf numFmtId="2" fontId="0" fillId="0" borderId="22" xfId="0" applyNumberFormat="1" applyBorder="1"/>
    <xf numFmtId="0" fontId="1" fillId="14" borderId="19" xfId="0" applyFont="1" applyFill="1" applyBorder="1" applyAlignment="1">
      <alignment horizontal="right"/>
    </xf>
    <xf numFmtId="0" fontId="1" fillId="14" borderId="12" xfId="0" applyFont="1" applyFill="1" applyBorder="1" applyAlignment="1">
      <alignment horizontal="right"/>
    </xf>
    <xf numFmtId="0" fontId="3" fillId="14" borderId="13" xfId="0" applyFont="1" applyFill="1" applyBorder="1"/>
    <xf numFmtId="0" fontId="3" fillId="14" borderId="14" xfId="0" applyFont="1" applyFill="1" applyBorder="1"/>
    <xf numFmtId="0" fontId="2" fillId="0" borderId="12" xfId="0" applyFont="1" applyBorder="1" applyAlignment="1">
      <alignment horizontal="right"/>
    </xf>
    <xf numFmtId="2" fontId="3" fillId="22" borderId="13" xfId="0" applyNumberFormat="1" applyFont="1" applyFill="1" applyBorder="1"/>
    <xf numFmtId="2" fontId="3" fillId="22" borderId="14" xfId="0" applyNumberFormat="1" applyFont="1" applyFill="1" applyBorder="1"/>
    <xf numFmtId="0" fontId="8" fillId="0" borderId="2" xfId="0" applyFont="1" applyBorder="1" applyAlignment="1">
      <alignment horizontal="right" wrapText="1"/>
    </xf>
    <xf numFmtId="0" fontId="2" fillId="0" borderId="8" xfId="0" applyFont="1" applyBorder="1" applyAlignment="1">
      <alignment horizontal="right"/>
    </xf>
    <xf numFmtId="2" fontId="3" fillId="22" borderId="0" xfId="0" applyNumberFormat="1" applyFont="1" applyFill="1"/>
    <xf numFmtId="2" fontId="3" fillId="22" borderId="10" xfId="0" applyNumberFormat="1" applyFont="1" applyFill="1" applyBorder="1"/>
    <xf numFmtId="0" fontId="3" fillId="14" borderId="12" xfId="0" applyFont="1" applyFill="1" applyBorder="1"/>
    <xf numFmtId="0" fontId="2" fillId="11" borderId="2" xfId="0" applyFont="1" applyFill="1" applyBorder="1" applyAlignment="1">
      <alignment horizontal="right"/>
    </xf>
    <xf numFmtId="2" fontId="0" fillId="11" borderId="2" xfId="0" applyNumberFormat="1" applyFill="1" applyBorder="1"/>
    <xf numFmtId="39" fontId="0" fillId="0" borderId="23" xfId="0" applyNumberFormat="1" applyBorder="1"/>
    <xf numFmtId="43" fontId="0" fillId="0" borderId="23" xfId="0" applyNumberFormat="1" applyBorder="1"/>
    <xf numFmtId="39" fontId="0" fillId="0" borderId="0" xfId="1" applyNumberFormat="1" applyFont="1" applyAlignment="1"/>
    <xf numFmtId="39" fontId="2" fillId="0" borderId="23" xfId="1" applyNumberFormat="1" applyFont="1" applyBorder="1" applyAlignment="1"/>
    <xf numFmtId="2" fontId="0" fillId="2" borderId="2" xfId="0" applyNumberFormat="1" applyFill="1" applyBorder="1" applyAlignment="1">
      <alignment wrapText="1"/>
    </xf>
    <xf numFmtId="0" fontId="0" fillId="2" borderId="2" xfId="0" applyFill="1" applyBorder="1" applyAlignment="1">
      <alignment wrapText="1"/>
    </xf>
    <xf numFmtId="2" fontId="0" fillId="2" borderId="2" xfId="0" applyNumberFormat="1" applyFill="1" applyBorder="1"/>
    <xf numFmtId="0" fontId="0" fillId="2" borderId="2" xfId="0" applyFill="1" applyBorder="1"/>
    <xf numFmtId="0" fontId="2" fillId="24" borderId="2" xfId="0" applyFont="1" applyFill="1" applyBorder="1" applyAlignment="1">
      <alignment horizontal="right"/>
    </xf>
    <xf numFmtId="2" fontId="0" fillId="24" borderId="2" xfId="0" applyNumberFormat="1" applyFill="1" applyBorder="1"/>
    <xf numFmtId="0" fontId="0" fillId="24" borderId="2" xfId="0" applyFill="1" applyBorder="1"/>
    <xf numFmtId="167" fontId="0" fillId="0" borderId="0" xfId="0" applyNumberFormat="1"/>
    <xf numFmtId="44" fontId="0" fillId="0" borderId="0" xfId="2" applyFont="1"/>
    <xf numFmtId="14" fontId="0" fillId="0" borderId="0" xfId="0" applyNumberFormat="1"/>
    <xf numFmtId="44" fontId="0" fillId="0" borderId="0" xfId="2" applyFont="1" applyFill="1"/>
    <xf numFmtId="44" fontId="0" fillId="0" borderId="0" xfId="0" applyNumberFormat="1"/>
    <xf numFmtId="0" fontId="0" fillId="0" borderId="0" xfId="0" quotePrefix="1"/>
    <xf numFmtId="0" fontId="3" fillId="0" borderId="0" xfId="0" applyFont="1"/>
    <xf numFmtId="44" fontId="3" fillId="0" borderId="0" xfId="2" applyFont="1" applyFill="1"/>
    <xf numFmtId="44" fontId="3" fillId="24" borderId="0" xfId="2" applyFont="1" applyFill="1"/>
    <xf numFmtId="0" fontId="3" fillId="24" borderId="0" xfId="0" applyFont="1" applyFill="1"/>
    <xf numFmtId="44" fontId="1" fillId="25" borderId="24" xfId="2" applyFont="1" applyFill="1" applyBorder="1"/>
    <xf numFmtId="0" fontId="1" fillId="25" borderId="25" xfId="0" applyFont="1" applyFill="1" applyBorder="1"/>
    <xf numFmtId="0" fontId="1" fillId="25" borderId="25" xfId="0" applyFont="1" applyFill="1" applyBorder="1" applyAlignment="1">
      <alignment horizontal="center"/>
    </xf>
    <xf numFmtId="14" fontId="0" fillId="0" borderId="2" xfId="0" applyNumberFormat="1" applyBorder="1"/>
    <xf numFmtId="0" fontId="0" fillId="15" borderId="2" xfId="0" applyFill="1" applyBorder="1" applyAlignment="1">
      <alignment horizontal="center"/>
    </xf>
    <xf numFmtId="0" fontId="0" fillId="26" borderId="2" xfId="0" applyFill="1" applyBorder="1"/>
    <xf numFmtId="0" fontId="0" fillId="27" borderId="2" xfId="0" applyFill="1" applyBorder="1"/>
    <xf numFmtId="44" fontId="1" fillId="25" borderId="26" xfId="2" applyFont="1" applyFill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15" borderId="27" xfId="0" applyFont="1" applyFill="1" applyBorder="1" applyAlignment="1">
      <alignment horizontal="left" vertical="center"/>
    </xf>
    <xf numFmtId="0" fontId="5" fillId="15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5" fillId="15" borderId="30" xfId="0" applyFont="1" applyFill="1" applyBorder="1" applyAlignment="1">
      <alignment horizontal="center"/>
    </xf>
    <xf numFmtId="1" fontId="5" fillId="28" borderId="31" xfId="0" applyNumberFormat="1" applyFont="1" applyFill="1" applyBorder="1" applyAlignment="1">
      <alignment horizontal="right" vertical="center"/>
    </xf>
    <xf numFmtId="0" fontId="5" fillId="0" borderId="31" xfId="0" applyFont="1" applyBorder="1" applyAlignment="1">
      <alignment horizontal="left" vertical="center"/>
    </xf>
    <xf numFmtId="165" fontId="5" fillId="0" borderId="16" xfId="0" applyNumberFormat="1" applyFont="1" applyBorder="1" applyAlignment="1">
      <alignment horizontal="right" vertical="center"/>
    </xf>
    <xf numFmtId="0" fontId="5" fillId="15" borderId="32" xfId="0" applyFont="1" applyFill="1" applyBorder="1" applyAlignment="1">
      <alignment horizontal="center"/>
    </xf>
    <xf numFmtId="1" fontId="5" fillId="28" borderId="31" xfId="0" applyNumberFormat="1" applyFont="1" applyFill="1" applyBorder="1" applyAlignment="1">
      <alignment vertical="center"/>
    </xf>
    <xf numFmtId="165" fontId="5" fillId="15" borderId="16" xfId="0" applyNumberFormat="1" applyFont="1" applyFill="1" applyBorder="1" applyAlignment="1">
      <alignment horizontal="right" vertical="center"/>
    </xf>
    <xf numFmtId="0" fontId="5" fillId="2" borderId="32" xfId="0" applyFont="1" applyFill="1" applyBorder="1" applyAlignment="1">
      <alignment horizontal="left" vertical="center"/>
    </xf>
    <xf numFmtId="0" fontId="5" fillId="2" borderId="32" xfId="0" applyFont="1" applyFill="1" applyBorder="1"/>
    <xf numFmtId="0" fontId="5" fillId="15" borderId="32" xfId="0" applyFont="1" applyFill="1" applyBorder="1" applyAlignment="1">
      <alignment horizontal="center" vertical="center"/>
    </xf>
    <xf numFmtId="0" fontId="5" fillId="15" borderId="33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43" fontId="5" fillId="0" borderId="37" xfId="1" applyFont="1" applyBorder="1" applyAlignment="1">
      <alignment horizontal="right"/>
    </xf>
    <xf numFmtId="44" fontId="5" fillId="0" borderId="37" xfId="2" applyFont="1" applyBorder="1" applyAlignment="1">
      <alignment horizontal="right"/>
    </xf>
    <xf numFmtId="2" fontId="13" fillId="0" borderId="0" xfId="0" applyNumberFormat="1" applyFont="1"/>
    <xf numFmtId="2" fontId="14" fillId="0" borderId="0" xfId="0" applyNumberFormat="1" applyFont="1"/>
    <xf numFmtId="0" fontId="14" fillId="0" borderId="0" xfId="0" applyFont="1"/>
    <xf numFmtId="44" fontId="13" fillId="0" borderId="14" xfId="2" applyFont="1" applyBorder="1" applyAlignment="1"/>
    <xf numFmtId="44" fontId="13" fillId="0" borderId="21" xfId="2" applyFont="1" applyBorder="1" applyAlignment="1"/>
    <xf numFmtId="0" fontId="13" fillId="0" borderId="0" xfId="0" applyFont="1"/>
    <xf numFmtId="0" fontId="5" fillId="15" borderId="2" xfId="0" applyFont="1" applyFill="1" applyBorder="1" applyAlignment="1">
      <alignment horizontal="center"/>
    </xf>
    <xf numFmtId="2" fontId="4" fillId="0" borderId="38" xfId="0" applyNumberFormat="1" applyFont="1" applyBorder="1" applyAlignment="1">
      <alignment horizontal="left" vertical="center"/>
    </xf>
    <xf numFmtId="2" fontId="4" fillId="0" borderId="31" xfId="0" applyNumberFormat="1" applyFont="1" applyBorder="1" applyAlignment="1">
      <alignment horizontal="left" vertical="center"/>
    </xf>
    <xf numFmtId="2" fontId="4" fillId="0" borderId="39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" fontId="4" fillId="17" borderId="2" xfId="0" applyNumberFormat="1" applyFont="1" applyFill="1" applyBorder="1" applyAlignment="1">
      <alignment horizontal="left" vertical="center"/>
    </xf>
    <xf numFmtId="166" fontId="16" fillId="29" borderId="2" xfId="0" applyNumberFormat="1" applyFont="1" applyFill="1" applyBorder="1" applyAlignment="1">
      <alignment horizontal="left" vertical="center"/>
    </xf>
    <xf numFmtId="1" fontId="16" fillId="29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3" fontId="5" fillId="0" borderId="0" xfId="0" applyNumberFormat="1" applyFont="1"/>
    <xf numFmtId="0" fontId="5" fillId="0" borderId="0" xfId="0" applyFont="1" applyAlignment="1">
      <alignment vertical="top"/>
    </xf>
    <xf numFmtId="0" fontId="0" fillId="0" borderId="2" xfId="0" applyBorder="1"/>
    <xf numFmtId="2" fontId="6" fillId="10" borderId="2" xfId="0" applyNumberFormat="1" applyFont="1" applyFill="1" applyBorder="1"/>
    <xf numFmtId="0" fontId="6" fillId="0" borderId="2" xfId="0" applyFont="1" applyBorder="1" applyAlignment="1">
      <alignment horizontal="center"/>
    </xf>
    <xf numFmtId="0" fontId="0" fillId="0" borderId="31" xfId="0" applyBorder="1"/>
    <xf numFmtId="0" fontId="6" fillId="0" borderId="0" xfId="0" applyFont="1" applyAlignment="1">
      <alignment horizontal="right"/>
    </xf>
    <xf numFmtId="0" fontId="0" fillId="0" borderId="30" xfId="0" applyBorder="1" applyAlignment="1">
      <alignment horizontal="center"/>
    </xf>
    <xf numFmtId="0" fontId="0" fillId="0" borderId="40" xfId="0" applyBorder="1" applyAlignment="1">
      <alignment horizontal="center"/>
    </xf>
    <xf numFmtId="3" fontId="0" fillId="0" borderId="40" xfId="0" applyNumberForma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168" fontId="21" fillId="0" borderId="2" xfId="0" applyNumberFormat="1" applyFont="1" applyBorder="1" applyAlignment="1">
      <alignment horizontal="center"/>
    </xf>
    <xf numFmtId="0" fontId="21" fillId="20" borderId="2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3" fillId="0" borderId="41" xfId="0" applyFont="1" applyBorder="1" applyAlignment="1">
      <alignment horizontal="center" vertical="center"/>
    </xf>
    <xf numFmtId="2" fontId="4" fillId="17" borderId="42" xfId="0" applyNumberFormat="1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/>
    </xf>
    <xf numFmtId="0" fontId="5" fillId="15" borderId="38" xfId="0" applyFont="1" applyFill="1" applyBorder="1" applyAlignment="1">
      <alignment horizontal="center"/>
    </xf>
    <xf numFmtId="0" fontId="13" fillId="0" borderId="28" xfId="0" applyFont="1" applyBorder="1"/>
    <xf numFmtId="0" fontId="14" fillId="0" borderId="28" xfId="0" applyFont="1" applyBorder="1" applyAlignment="1">
      <alignment horizontal="center" vertical="center"/>
    </xf>
    <xf numFmtId="44" fontId="13" fillId="0" borderId="21" xfId="0" applyNumberFormat="1" applyFont="1" applyBorder="1"/>
    <xf numFmtId="0" fontId="5" fillId="2" borderId="34" xfId="0" applyFont="1" applyFill="1" applyBorder="1" applyAlignment="1">
      <alignment horizontal="left"/>
    </xf>
    <xf numFmtId="0" fontId="5" fillId="15" borderId="42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 vertical="center"/>
    </xf>
    <xf numFmtId="0" fontId="5" fillId="15" borderId="43" xfId="0" applyFont="1" applyFill="1" applyBorder="1" applyAlignment="1">
      <alignment horizontal="center" vertical="center"/>
    </xf>
    <xf numFmtId="14" fontId="15" fillId="30" borderId="36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38" xfId="0" applyFont="1" applyBorder="1"/>
    <xf numFmtId="0" fontId="5" fillId="0" borderId="31" xfId="0" applyFont="1" applyBorder="1"/>
    <xf numFmtId="0" fontId="5" fillId="0" borderId="39" xfId="0" applyFont="1" applyBorder="1"/>
    <xf numFmtId="0" fontId="14" fillId="0" borderId="4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0" xfId="0" applyNumberFormat="1" applyFont="1" applyAlignment="1">
      <alignment vertical="center"/>
    </xf>
    <xf numFmtId="1" fontId="4" fillId="17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8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" fontId="17" fillId="29" borderId="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16" fillId="29" borderId="2" xfId="0" applyFont="1" applyFill="1" applyBorder="1" applyAlignment="1">
      <alignment horizontal="center" vertical="center"/>
    </xf>
    <xf numFmtId="0" fontId="4" fillId="17" borderId="4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2" fontId="5" fillId="0" borderId="0" xfId="0" applyNumberFormat="1" applyFont="1"/>
    <xf numFmtId="0" fontId="6" fillId="0" borderId="0" xfId="0" applyFont="1"/>
    <xf numFmtId="2" fontId="5" fillId="0" borderId="3" xfId="0" applyNumberFormat="1" applyFont="1" applyBorder="1" applyAlignment="1">
      <alignment horizontal="center" vertical="center"/>
    </xf>
    <xf numFmtId="2" fontId="5" fillId="0" borderId="39" xfId="0" applyNumberFormat="1" applyFont="1" applyBorder="1" applyAlignment="1">
      <alignment horizontal="center" vertical="center"/>
    </xf>
    <xf numFmtId="0" fontId="13" fillId="31" borderId="2" xfId="0" applyFont="1" applyFill="1" applyBorder="1" applyAlignment="1">
      <alignment horizontal="center" vertical="center"/>
    </xf>
    <xf numFmtId="1" fontId="16" fillId="29" borderId="3" xfId="0" applyNumberFormat="1" applyFont="1" applyFill="1" applyBorder="1" applyAlignment="1">
      <alignment horizontal="center" vertical="center"/>
    </xf>
    <xf numFmtId="43" fontId="5" fillId="0" borderId="49" xfId="1" applyFont="1" applyBorder="1" applyAlignment="1">
      <alignment horizontal="right"/>
    </xf>
    <xf numFmtId="1" fontId="4" fillId="17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1" fontId="4" fillId="17" borderId="3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left"/>
    </xf>
    <xf numFmtId="2" fontId="15" fillId="0" borderId="2" xfId="0" applyNumberFormat="1" applyFont="1" applyBorder="1" applyAlignment="1">
      <alignment horizontal="left" vertical="center"/>
    </xf>
    <xf numFmtId="2" fontId="15" fillId="0" borderId="48" xfId="0" applyNumberFormat="1" applyFont="1" applyBorder="1" applyAlignment="1">
      <alignment horizontal="left" vertical="center"/>
    </xf>
    <xf numFmtId="2" fontId="4" fillId="17" borderId="48" xfId="0" applyNumberFormat="1" applyFont="1" applyFill="1" applyBorder="1" applyAlignment="1">
      <alignment horizontal="left" vertical="center"/>
    </xf>
    <xf numFmtId="2" fontId="4" fillId="17" borderId="32" xfId="0" applyNumberFormat="1" applyFont="1" applyFill="1" applyBorder="1" applyAlignment="1">
      <alignment horizontal="left" vertical="center"/>
    </xf>
    <xf numFmtId="2" fontId="4" fillId="2" borderId="22" xfId="0" applyNumberFormat="1" applyFont="1" applyFill="1" applyBorder="1" applyAlignment="1">
      <alignment horizontal="left" vertical="center"/>
    </xf>
    <xf numFmtId="2" fontId="4" fillId="17" borderId="37" xfId="0" applyNumberFormat="1" applyFont="1" applyFill="1" applyBorder="1" applyAlignment="1">
      <alignment horizontal="left" vertical="center"/>
    </xf>
    <xf numFmtId="44" fontId="0" fillId="0" borderId="2" xfId="0" applyNumberFormat="1" applyBorder="1"/>
    <xf numFmtId="43" fontId="0" fillId="0" borderId="2" xfId="0" applyNumberFormat="1" applyBorder="1"/>
    <xf numFmtId="44" fontId="0" fillId="0" borderId="22" xfId="0" applyNumberFormat="1" applyBorder="1"/>
    <xf numFmtId="43" fontId="0" fillId="0" borderId="22" xfId="0" applyNumberFormat="1" applyBorder="1"/>
    <xf numFmtId="44" fontId="0" fillId="0" borderId="50" xfId="0" applyNumberFormat="1" applyBorder="1"/>
    <xf numFmtId="44" fontId="0" fillId="0" borderId="3" xfId="0" applyNumberFormat="1" applyBorder="1"/>
    <xf numFmtId="44" fontId="0" fillId="0" borderId="30" xfId="0" applyNumberFormat="1" applyBorder="1"/>
    <xf numFmtId="44" fontId="0" fillId="0" borderId="32" xfId="0" applyNumberFormat="1" applyBorder="1"/>
    <xf numFmtId="0" fontId="19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44" fontId="0" fillId="0" borderId="33" xfId="0" applyNumberFormat="1" applyBorder="1"/>
    <xf numFmtId="44" fontId="0" fillId="0" borderId="26" xfId="0" applyNumberFormat="1" applyBorder="1"/>
    <xf numFmtId="43" fontId="0" fillId="0" borderId="26" xfId="0" applyNumberFormat="1" applyBorder="1"/>
    <xf numFmtId="2" fontId="0" fillId="0" borderId="26" xfId="0" applyNumberFormat="1" applyBorder="1"/>
    <xf numFmtId="44" fontId="0" fillId="0" borderId="54" xfId="0" applyNumberFormat="1" applyBorder="1"/>
    <xf numFmtId="0" fontId="24" fillId="0" borderId="37" xfId="0" applyFont="1" applyBorder="1" applyAlignment="1">
      <alignment horizontal="center" vertical="center"/>
    </xf>
    <xf numFmtId="44" fontId="0" fillId="0" borderId="41" xfId="0" applyNumberFormat="1" applyBorder="1"/>
    <xf numFmtId="44" fontId="0" fillId="0" borderId="34" xfId="0" applyNumberFormat="1" applyBorder="1"/>
    <xf numFmtId="44" fontId="0" fillId="0" borderId="36" xfId="0" applyNumberFormat="1" applyBorder="1"/>
    <xf numFmtId="0" fontId="4" fillId="0" borderId="2" xfId="0" applyFont="1" applyBorder="1" applyAlignment="1">
      <alignment horizontal="left" vertical="center"/>
    </xf>
    <xf numFmtId="14" fontId="5" fillId="0" borderId="0" xfId="0" applyNumberFormat="1" applyFont="1"/>
    <xf numFmtId="44" fontId="13" fillId="0" borderId="14" xfId="0" applyNumberFormat="1" applyFont="1" applyBorder="1"/>
    <xf numFmtId="44" fontId="5" fillId="0" borderId="2" xfId="0" applyNumberFormat="1" applyFont="1" applyBorder="1"/>
    <xf numFmtId="0" fontId="13" fillId="0" borderId="5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/>
    <xf numFmtId="0" fontId="0" fillId="15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1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14" borderId="12" xfId="0" applyFont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1" fillId="14" borderId="19" xfId="0" applyFont="1" applyFill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2" fillId="22" borderId="20" xfId="0" applyFont="1" applyFill="1" applyBorder="1" applyAlignment="1">
      <alignment horizontal="center"/>
    </xf>
    <xf numFmtId="0" fontId="2" fillId="22" borderId="21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" fillId="16" borderId="56" xfId="0" applyFont="1" applyFill="1" applyBorder="1" applyAlignment="1">
      <alignment horizontal="center"/>
    </xf>
    <xf numFmtId="0" fontId="1" fillId="16" borderId="57" xfId="0" applyFont="1" applyFill="1" applyBorder="1" applyAlignment="1">
      <alignment horizontal="center"/>
    </xf>
    <xf numFmtId="0" fontId="1" fillId="16" borderId="58" xfId="0" applyFont="1" applyFill="1" applyBorder="1" applyAlignment="1">
      <alignment horizontal="center"/>
    </xf>
    <xf numFmtId="0" fontId="2" fillId="32" borderId="12" xfId="0" applyFont="1" applyFill="1" applyBorder="1" applyAlignment="1">
      <alignment horizontal="center"/>
    </xf>
    <xf numFmtId="0" fontId="2" fillId="32" borderId="13" xfId="0" applyFont="1" applyFill="1" applyBorder="1" applyAlignment="1">
      <alignment horizontal="center"/>
    </xf>
    <xf numFmtId="0" fontId="0" fillId="5" borderId="0" xfId="0" applyFill="1"/>
    <xf numFmtId="0" fontId="1" fillId="5" borderId="12" xfId="0" applyFont="1" applyFill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4" borderId="8" xfId="0" applyFont="1" applyFill="1" applyBorder="1" applyAlignment="1">
      <alignment horizontal="center"/>
    </xf>
    <xf numFmtId="44" fontId="13" fillId="0" borderId="48" xfId="0" applyNumberFormat="1" applyFont="1" applyBorder="1" applyAlignment="1">
      <alignment horizontal="center"/>
    </xf>
    <xf numFmtId="44" fontId="13" fillId="0" borderId="45" xfId="0" applyNumberFormat="1" applyFont="1" applyBorder="1" applyAlignment="1">
      <alignment horizontal="center"/>
    </xf>
    <xf numFmtId="44" fontId="13" fillId="0" borderId="2" xfId="0" applyNumberFormat="1" applyFont="1" applyBorder="1" applyAlignment="1">
      <alignment horizontal="center"/>
    </xf>
    <xf numFmtId="44" fontId="13" fillId="0" borderId="3" xfId="0" applyNumberFormat="1" applyFont="1" applyBorder="1" applyAlignment="1">
      <alignment horizontal="center"/>
    </xf>
    <xf numFmtId="43" fontId="13" fillId="0" borderId="2" xfId="0" applyNumberFormat="1" applyFont="1" applyBorder="1" applyAlignment="1">
      <alignment horizontal="center"/>
    </xf>
    <xf numFmtId="43" fontId="13" fillId="0" borderId="3" xfId="0" applyNumberFormat="1" applyFont="1" applyBorder="1" applyAlignment="1">
      <alignment horizontal="center"/>
    </xf>
    <xf numFmtId="44" fontId="13" fillId="0" borderId="31" xfId="0" applyNumberFormat="1" applyFont="1" applyBorder="1" applyAlignment="1">
      <alignment horizontal="center"/>
    </xf>
    <xf numFmtId="44" fontId="13" fillId="0" borderId="39" xfId="0" applyNumberFormat="1" applyFont="1" applyBorder="1" applyAlignment="1">
      <alignment horizontal="center"/>
    </xf>
    <xf numFmtId="0" fontId="0" fillId="15" borderId="2" xfId="0" applyFill="1" applyBorder="1" applyAlignment="1">
      <alignment horizontal="left"/>
    </xf>
    <xf numFmtId="44" fontId="0" fillId="2" borderId="2" xfId="2" applyFont="1" applyFill="1" applyBorder="1" applyAlignment="1">
      <alignment horizontal="right"/>
    </xf>
    <xf numFmtId="0" fontId="5" fillId="15" borderId="2" xfId="0" applyFont="1" applyFill="1" applyBorder="1" applyAlignment="1">
      <alignment horizontal="left"/>
    </xf>
    <xf numFmtId="44" fontId="5" fillId="2" borderId="2" xfId="2" applyFont="1" applyFill="1" applyBorder="1" applyAlignment="1">
      <alignment horizontal="right"/>
    </xf>
    <xf numFmtId="44" fontId="5" fillId="2" borderId="3" xfId="2" applyFont="1" applyFill="1" applyBorder="1" applyAlignment="1">
      <alignment horizontal="right"/>
    </xf>
    <xf numFmtId="0" fontId="5" fillId="15" borderId="22" xfId="0" applyFont="1" applyFill="1" applyBorder="1" applyAlignment="1">
      <alignment horizontal="left"/>
    </xf>
    <xf numFmtId="44" fontId="5" fillId="2" borderId="22" xfId="2" applyFont="1" applyFill="1" applyBorder="1" applyAlignment="1">
      <alignment horizontal="right"/>
    </xf>
    <xf numFmtId="44" fontId="5" fillId="2" borderId="50" xfId="2" applyFont="1" applyFill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26" xfId="0" applyFont="1" applyBorder="1" applyAlignment="1">
      <alignment horizontal="left" vertical="center"/>
    </xf>
    <xf numFmtId="44" fontId="5" fillId="2" borderId="26" xfId="2" applyFont="1" applyFill="1" applyBorder="1" applyAlignment="1">
      <alignment horizontal="right" vertical="center"/>
    </xf>
    <xf numFmtId="44" fontId="5" fillId="2" borderId="54" xfId="2" applyFont="1" applyFill="1" applyBorder="1" applyAlignment="1">
      <alignment horizontal="right" vertical="center"/>
    </xf>
    <xf numFmtId="0" fontId="0" fillId="5" borderId="59" xfId="0" applyFill="1" applyBorder="1" applyAlignment="1">
      <alignment horizontal="left"/>
    </xf>
    <xf numFmtId="0" fontId="0" fillId="5" borderId="60" xfId="0" applyFill="1" applyBorder="1" applyAlignment="1">
      <alignment horizontal="left"/>
    </xf>
    <xf numFmtId="0" fontId="0" fillId="5" borderId="61" xfId="0" applyFill="1" applyBorder="1" applyAlignment="1">
      <alignment horizontal="left"/>
    </xf>
    <xf numFmtId="0" fontId="1" fillId="25" borderId="62" xfId="0" applyFont="1" applyFill="1" applyBorder="1" applyAlignment="1">
      <alignment horizontal="center"/>
    </xf>
    <xf numFmtId="0" fontId="1" fillId="25" borderId="0" xfId="0" applyFont="1" applyFill="1" applyAlignment="1">
      <alignment horizontal="center"/>
    </xf>
    <xf numFmtId="0" fontId="1" fillId="25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63" xfId="0" applyFont="1" applyBorder="1" applyAlignment="1">
      <alignment horizontal="right"/>
    </xf>
    <xf numFmtId="0" fontId="22" fillId="0" borderId="48" xfId="0" applyFont="1" applyBorder="1" applyAlignment="1">
      <alignment horizontal="center" wrapText="1"/>
    </xf>
    <xf numFmtId="0" fontId="22" fillId="0" borderId="23" xfId="0" applyFont="1" applyBorder="1" applyAlignment="1">
      <alignment horizontal="center" wrapText="1"/>
    </xf>
    <xf numFmtId="0" fontId="22" fillId="0" borderId="3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20" fillId="0" borderId="64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40" xfId="0" applyBorder="1" applyAlignment="1">
      <alignment horizontal="center"/>
    </xf>
    <xf numFmtId="0" fontId="25" fillId="33" borderId="35" xfId="0" applyFont="1" applyFill="1" applyBorder="1" applyAlignment="1">
      <alignment horizontal="center"/>
    </xf>
    <xf numFmtId="0" fontId="25" fillId="33" borderId="34" xfId="0" applyFont="1" applyFill="1" applyBorder="1" applyAlignment="1">
      <alignment horizontal="center"/>
    </xf>
    <xf numFmtId="0" fontId="25" fillId="33" borderId="36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1" xfId="0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6" fillId="10" borderId="1" xfId="0" applyNumberFormat="1" applyFont="1" applyFill="1" applyBorder="1" applyAlignment="1">
      <alignment horizontal="center"/>
    </xf>
    <xf numFmtId="2" fontId="6" fillId="10" borderId="2" xfId="0" applyNumberFormat="1" applyFont="1" applyFill="1" applyBorder="1" applyAlignment="1">
      <alignment horizontal="center"/>
    </xf>
    <xf numFmtId="2" fontId="6" fillId="10" borderId="3" xfId="0" applyNumberFormat="1" applyFont="1" applyFill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44" fontId="13" fillId="0" borderId="31" xfId="2" applyFont="1" applyBorder="1" applyAlignment="1">
      <alignment horizontal="center" vertical="center"/>
    </xf>
    <xf numFmtId="44" fontId="13" fillId="0" borderId="39" xfId="2" applyFont="1" applyBorder="1" applyAlignment="1">
      <alignment horizontal="center" vertical="center"/>
    </xf>
    <xf numFmtId="0" fontId="13" fillId="0" borderId="9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55" xfId="0" applyFont="1" applyBorder="1" applyAlignment="1">
      <alignment horizontal="center" vertical="top"/>
    </xf>
    <xf numFmtId="0" fontId="5" fillId="0" borderId="28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38" xfId="0" applyFont="1" applyBorder="1" applyAlignment="1">
      <alignment horizontal="center" vertical="top"/>
    </xf>
    <xf numFmtId="0" fontId="5" fillId="0" borderId="31" xfId="0" applyFont="1" applyBorder="1" applyAlignment="1">
      <alignment horizontal="center" vertical="top"/>
    </xf>
    <xf numFmtId="0" fontId="5" fillId="0" borderId="39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6" fillId="0" borderId="17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3" fillId="28" borderId="1" xfId="0" applyFont="1" applyFill="1" applyBorder="1" applyAlignment="1">
      <alignment horizontal="left" vertical="center"/>
    </xf>
    <xf numFmtId="0" fontId="13" fillId="28" borderId="2" xfId="0" applyFont="1" applyFill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2" fontId="13" fillId="0" borderId="31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5" fillId="15" borderId="31" xfId="0" applyFont="1" applyFill="1" applyBorder="1" applyAlignment="1">
      <alignment horizontal="left" vertical="center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5" fillId="0" borderId="1" xfId="0" applyFont="1" applyBorder="1"/>
    <xf numFmtId="0" fontId="0" fillId="0" borderId="2" xfId="0" applyBorder="1"/>
    <xf numFmtId="0" fontId="2" fillId="33" borderId="55" xfId="0" applyFont="1" applyFill="1" applyBorder="1" applyAlignment="1">
      <alignment horizontal="center"/>
    </xf>
    <xf numFmtId="0" fontId="2" fillId="33" borderId="28" xfId="0" applyFont="1" applyFill="1" applyBorder="1" applyAlignment="1">
      <alignment horizontal="center"/>
    </xf>
    <xf numFmtId="0" fontId="2" fillId="33" borderId="29" xfId="0" applyFont="1" applyFill="1" applyBorder="1" applyAlignment="1">
      <alignment horizontal="center"/>
    </xf>
    <xf numFmtId="0" fontId="2" fillId="33" borderId="27" xfId="0" applyFont="1" applyFill="1" applyBorder="1" applyAlignment="1">
      <alignment horizontal="center"/>
    </xf>
    <xf numFmtId="0" fontId="2" fillId="33" borderId="66" xfId="0" applyFont="1" applyFill="1" applyBorder="1" applyAlignment="1">
      <alignment horizontal="center"/>
    </xf>
    <xf numFmtId="0" fontId="2" fillId="33" borderId="67" xfId="0" applyFont="1" applyFill="1" applyBorder="1" applyAlignment="1">
      <alignment horizontal="center"/>
    </xf>
    <xf numFmtId="0" fontId="6" fillId="17" borderId="55" xfId="0" applyFont="1" applyFill="1" applyBorder="1" applyAlignment="1">
      <alignment horizontal="center"/>
    </xf>
    <xf numFmtId="0" fontId="6" fillId="17" borderId="28" xfId="0" applyFont="1" applyFill="1" applyBorder="1" applyAlignment="1">
      <alignment horizontal="center"/>
    </xf>
    <xf numFmtId="0" fontId="6" fillId="17" borderId="29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2" fillId="17" borderId="19" xfId="0" applyFont="1" applyFill="1" applyBorder="1" applyAlignment="1">
      <alignment horizontal="center"/>
    </xf>
    <xf numFmtId="0" fontId="2" fillId="17" borderId="20" xfId="0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0" fontId="19" fillId="33" borderId="55" xfId="0" applyFont="1" applyFill="1" applyBorder="1" applyAlignment="1">
      <alignment horizontal="center"/>
    </xf>
    <xf numFmtId="0" fontId="19" fillId="33" borderId="28" xfId="0" applyFont="1" applyFill="1" applyBorder="1" applyAlignment="1">
      <alignment horizontal="center"/>
    </xf>
    <xf numFmtId="0" fontId="19" fillId="33" borderId="29" xfId="0" applyFont="1" applyFill="1" applyBorder="1" applyAlignment="1">
      <alignment horizontal="center"/>
    </xf>
    <xf numFmtId="0" fontId="2" fillId="33" borderId="68" xfId="0" applyFont="1" applyFill="1" applyBorder="1" applyAlignment="1">
      <alignment horizontal="center"/>
    </xf>
    <xf numFmtId="0" fontId="2" fillId="33" borderId="69" xfId="0" applyFont="1" applyFill="1" applyBorder="1" applyAlignment="1">
      <alignment horizontal="center"/>
    </xf>
    <xf numFmtId="0" fontId="2" fillId="33" borderId="70" xfId="0" applyFont="1" applyFill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8" xfId="0" applyFont="1" applyBorder="1"/>
    <xf numFmtId="0" fontId="0" fillId="0" borderId="31" xfId="0" applyBorder="1"/>
    <xf numFmtId="2" fontId="5" fillId="34" borderId="31" xfId="0" applyNumberFormat="1" applyFont="1" applyFill="1" applyBorder="1" applyAlignment="1">
      <alignment horizontal="center" vertical="center"/>
    </xf>
    <xf numFmtId="0" fontId="13" fillId="0" borderId="55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15" borderId="28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2" fontId="13" fillId="2" borderId="28" xfId="0" applyNumberFormat="1" applyFont="1" applyFill="1" applyBorder="1" applyAlignment="1">
      <alignment horizontal="center" vertic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2" borderId="29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3" fillId="11" borderId="3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left"/>
    </xf>
    <xf numFmtId="44" fontId="5" fillId="2" borderId="31" xfId="2" applyFont="1" applyFill="1" applyBorder="1" applyAlignment="1">
      <alignment horizontal="right"/>
    </xf>
    <xf numFmtId="44" fontId="5" fillId="2" borderId="39" xfId="2" applyFont="1" applyFill="1" applyBorder="1" applyAlignment="1">
      <alignment horizontal="right"/>
    </xf>
    <xf numFmtId="0" fontId="13" fillId="17" borderId="1" xfId="0" applyFont="1" applyFill="1" applyBorder="1" applyAlignment="1">
      <alignment horizontal="left" vertical="center"/>
    </xf>
    <xf numFmtId="0" fontId="13" fillId="17" borderId="2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44" fontId="13" fillId="0" borderId="35" xfId="2" applyFont="1" applyBorder="1" applyAlignment="1">
      <alignment horizontal="right" vertical="center"/>
    </xf>
    <xf numFmtId="44" fontId="13" fillId="0" borderId="34" xfId="2" applyFont="1" applyBorder="1" applyAlignment="1">
      <alignment horizontal="right" vertical="center"/>
    </xf>
    <xf numFmtId="44" fontId="13" fillId="0" borderId="36" xfId="2" applyFont="1" applyBorder="1" applyAlignment="1">
      <alignment horizontal="right" vertical="center"/>
    </xf>
    <xf numFmtId="0" fontId="5" fillId="15" borderId="71" xfId="0" applyFont="1" applyFill="1" applyBorder="1" applyAlignment="1">
      <alignment horizontal="left" vertical="center"/>
    </xf>
    <xf numFmtId="0" fontId="5" fillId="15" borderId="40" xfId="0" applyFont="1" applyFill="1" applyBorder="1" applyAlignment="1">
      <alignment horizontal="left" vertical="center"/>
    </xf>
    <xf numFmtId="0" fontId="5" fillId="15" borderId="30" xfId="0" applyFont="1" applyFill="1" applyBorder="1" applyAlignment="1">
      <alignment horizontal="left" vertical="center"/>
    </xf>
    <xf numFmtId="44" fontId="5" fillId="2" borderId="44" xfId="2" applyFont="1" applyFill="1" applyBorder="1" applyAlignment="1">
      <alignment horizontal="right" vertical="center"/>
    </xf>
    <xf numFmtId="44" fontId="5" fillId="2" borderId="70" xfId="2" applyFont="1" applyFill="1" applyBorder="1" applyAlignment="1">
      <alignment horizontal="right" vertical="center"/>
    </xf>
    <xf numFmtId="0" fontId="5" fillId="15" borderId="72" xfId="0" applyFont="1" applyFill="1" applyBorder="1" applyAlignment="1">
      <alignment horizontal="left" vertical="center"/>
    </xf>
    <xf numFmtId="0" fontId="5" fillId="15" borderId="64" xfId="0" applyFont="1" applyFill="1" applyBorder="1" applyAlignment="1">
      <alignment horizontal="left" vertical="center"/>
    </xf>
    <xf numFmtId="0" fontId="5" fillId="15" borderId="33" xfId="0" applyFont="1" applyFill="1" applyBorder="1" applyAlignment="1">
      <alignment horizontal="left" vertical="center"/>
    </xf>
    <xf numFmtId="44" fontId="5" fillId="2" borderId="73" xfId="2" applyFont="1" applyFill="1" applyBorder="1" applyAlignment="1">
      <alignment horizontal="right" vertical="center"/>
    </xf>
    <xf numFmtId="44" fontId="5" fillId="2" borderId="47" xfId="2" applyFont="1" applyFill="1" applyBorder="1" applyAlignment="1">
      <alignment horizontal="right"/>
    </xf>
    <xf numFmtId="0" fontId="13" fillId="0" borderId="5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44" fontId="13" fillId="0" borderId="55" xfId="2" applyFont="1" applyBorder="1" applyAlignment="1">
      <alignment horizontal="center" vertical="center"/>
    </xf>
    <xf numFmtId="44" fontId="13" fillId="0" borderId="28" xfId="2" applyFont="1" applyBorder="1" applyAlignment="1">
      <alignment horizontal="center" vertical="center"/>
    </xf>
    <xf numFmtId="44" fontId="13" fillId="0" borderId="29" xfId="2" applyFont="1" applyBorder="1" applyAlignment="1">
      <alignment horizontal="center" vertical="center"/>
    </xf>
    <xf numFmtId="44" fontId="13" fillId="0" borderId="38" xfId="2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2" fontId="5" fillId="0" borderId="19" xfId="0" applyNumberFormat="1" applyFont="1" applyBorder="1" applyAlignment="1">
      <alignment horizontal="right" vertical="center"/>
    </xf>
    <xf numFmtId="2" fontId="5" fillId="0" borderId="21" xfId="0" applyNumberFormat="1" applyFont="1" applyBorder="1" applyAlignment="1">
      <alignment horizontal="right" vertical="center"/>
    </xf>
    <xf numFmtId="44" fontId="13" fillId="0" borderId="19" xfId="2" applyFont="1" applyBorder="1" applyAlignment="1">
      <alignment horizontal="right" vertical="center"/>
    </xf>
    <xf numFmtId="44" fontId="13" fillId="0" borderId="20" xfId="2" applyFont="1" applyBorder="1" applyAlignment="1">
      <alignment horizontal="right" vertical="center"/>
    </xf>
    <xf numFmtId="44" fontId="13" fillId="0" borderId="21" xfId="2" applyFont="1" applyBorder="1" applyAlignment="1">
      <alignment horizontal="right" vertical="center"/>
    </xf>
    <xf numFmtId="0" fontId="5" fillId="15" borderId="17" xfId="0" applyFont="1" applyFill="1" applyBorder="1" applyAlignment="1">
      <alignment horizontal="left" vertical="center"/>
    </xf>
    <xf numFmtId="0" fontId="5" fillId="15" borderId="74" xfId="0" applyFont="1" applyFill="1" applyBorder="1" applyAlignment="1">
      <alignment horizontal="left" vertical="center"/>
    </xf>
    <xf numFmtId="0" fontId="13" fillId="0" borderId="65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3" fillId="0" borderId="45" xfId="0" applyFont="1" applyBorder="1" applyAlignment="1">
      <alignment horizontal="left"/>
    </xf>
    <xf numFmtId="44" fontId="13" fillId="0" borderId="1" xfId="2" applyFont="1" applyBorder="1" applyAlignment="1">
      <alignment horizontal="right" vertical="center"/>
    </xf>
    <xf numFmtId="44" fontId="13" fillId="0" borderId="2" xfId="2" applyFont="1" applyBorder="1" applyAlignment="1">
      <alignment horizontal="right" vertical="center"/>
    </xf>
    <xf numFmtId="44" fontId="13" fillId="0" borderId="3" xfId="2" applyFont="1" applyBorder="1" applyAlignment="1">
      <alignment horizontal="right" vertical="center"/>
    </xf>
    <xf numFmtId="44" fontId="5" fillId="28" borderId="44" xfId="2" applyFont="1" applyFill="1" applyBorder="1" applyAlignment="1">
      <alignment horizontal="right" vertical="center"/>
    </xf>
    <xf numFmtId="44" fontId="5" fillId="28" borderId="75" xfId="2" applyFont="1" applyFill="1" applyBorder="1" applyAlignment="1">
      <alignment horizontal="right" vertical="center"/>
    </xf>
    <xf numFmtId="18" fontId="5" fillId="0" borderId="26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72" xfId="0" applyFont="1" applyBorder="1" applyAlignment="1">
      <alignment horizontal="left" vertical="center"/>
    </xf>
    <xf numFmtId="0" fontId="5" fillId="0" borderId="64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43" fontId="5" fillId="30" borderId="73" xfId="1" applyFont="1" applyFill="1" applyBorder="1" applyAlignment="1">
      <alignment horizontal="right" vertical="center"/>
    </xf>
    <xf numFmtId="43" fontId="5" fillId="30" borderId="47" xfId="1" applyFont="1" applyFill="1" applyBorder="1" applyAlignment="1">
      <alignment horizontal="right" vertical="center"/>
    </xf>
    <xf numFmtId="0" fontId="5" fillId="0" borderId="23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44" fontId="5" fillId="0" borderId="65" xfId="2" applyFont="1" applyBorder="1" applyAlignment="1">
      <alignment horizontal="right" vertical="center"/>
    </xf>
    <xf numFmtId="44" fontId="5" fillId="0" borderId="23" xfId="2" applyFont="1" applyBorder="1" applyAlignment="1">
      <alignment horizontal="right" vertical="center"/>
    </xf>
    <xf numFmtId="44" fontId="5" fillId="0" borderId="45" xfId="2" applyFont="1" applyBorder="1" applyAlignment="1">
      <alignment horizontal="right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5" fillId="15" borderId="65" xfId="0" applyFont="1" applyFill="1" applyBorder="1" applyAlignment="1">
      <alignment horizontal="left" vertical="center"/>
    </xf>
    <xf numFmtId="0" fontId="5" fillId="15" borderId="23" xfId="0" applyFont="1" applyFill="1" applyBorder="1" applyAlignment="1">
      <alignment horizontal="left" vertical="center"/>
    </xf>
    <xf numFmtId="0" fontId="5" fillId="15" borderId="32" xfId="0" applyFont="1" applyFill="1" applyBorder="1" applyAlignment="1">
      <alignment horizontal="left" vertical="center"/>
    </xf>
    <xf numFmtId="44" fontId="5" fillId="7" borderId="48" xfId="2" applyFont="1" applyFill="1" applyBorder="1" applyAlignment="1">
      <alignment horizontal="right" vertical="center"/>
    </xf>
    <xf numFmtId="44" fontId="5" fillId="7" borderId="45" xfId="2" applyFont="1" applyFill="1" applyBorder="1" applyAlignment="1">
      <alignment horizontal="righ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left" vertical="center"/>
    </xf>
    <xf numFmtId="44" fontId="5" fillId="28" borderId="65" xfId="2" applyFont="1" applyFill="1" applyBorder="1" applyAlignment="1">
      <alignment horizontal="right" vertical="center"/>
    </xf>
    <xf numFmtId="44" fontId="5" fillId="28" borderId="23" xfId="2" applyFont="1" applyFill="1" applyBorder="1" applyAlignment="1">
      <alignment horizontal="right" vertical="center"/>
    </xf>
    <xf numFmtId="44" fontId="5" fillId="28" borderId="45" xfId="2" applyFont="1" applyFill="1" applyBorder="1" applyAlignment="1">
      <alignment horizontal="righ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5" fillId="15" borderId="68" xfId="0" applyFont="1" applyFill="1" applyBorder="1" applyAlignment="1">
      <alignment horizontal="left" vertical="center"/>
    </xf>
    <xf numFmtId="0" fontId="5" fillId="15" borderId="69" xfId="0" applyFont="1" applyFill="1" applyBorder="1" applyAlignment="1">
      <alignment horizontal="left" vertical="center"/>
    </xf>
    <xf numFmtId="0" fontId="5" fillId="15" borderId="75" xfId="0" applyFont="1" applyFill="1" applyBorder="1" applyAlignment="1">
      <alignment horizontal="left" vertical="center"/>
    </xf>
    <xf numFmtId="2" fontId="5" fillId="30" borderId="44" xfId="0" applyNumberFormat="1" applyFont="1" applyFill="1" applyBorder="1" applyAlignment="1">
      <alignment horizontal="right" vertical="center"/>
    </xf>
    <xf numFmtId="2" fontId="5" fillId="30" borderId="70" xfId="0" applyNumberFormat="1" applyFont="1" applyFill="1" applyBorder="1" applyAlignment="1">
      <alignment horizontal="right" vertical="center"/>
    </xf>
    <xf numFmtId="0" fontId="5" fillId="15" borderId="70" xfId="0" applyFont="1" applyFill="1" applyBorder="1" applyAlignment="1">
      <alignment horizontal="left" vertical="center"/>
    </xf>
    <xf numFmtId="44" fontId="5" fillId="28" borderId="71" xfId="2" applyFont="1" applyFill="1" applyBorder="1" applyAlignment="1">
      <alignment horizontal="right" vertical="center"/>
    </xf>
    <xf numFmtId="44" fontId="5" fillId="28" borderId="40" xfId="2" applyFont="1" applyFill="1" applyBorder="1" applyAlignment="1">
      <alignment horizontal="right" vertical="center"/>
    </xf>
    <xf numFmtId="44" fontId="5" fillId="28" borderId="76" xfId="2" applyFont="1" applyFill="1" applyBorder="1" applyAlignment="1">
      <alignment horizontal="righ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164" fontId="5" fillId="15" borderId="77" xfId="0" applyNumberFormat="1" applyFont="1" applyFill="1" applyBorder="1" applyAlignment="1">
      <alignment horizontal="center" vertical="center"/>
    </xf>
    <xf numFmtId="0" fontId="5" fillId="15" borderId="40" xfId="0" applyFont="1" applyFill="1" applyBorder="1" applyAlignment="1">
      <alignment horizontal="center" vertical="center"/>
    </xf>
    <xf numFmtId="0" fontId="5" fillId="15" borderId="76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3" fillId="15" borderId="35" xfId="0" applyFont="1" applyFill="1" applyBorder="1" applyAlignment="1">
      <alignment horizontal="center" vertical="center"/>
    </xf>
    <xf numFmtId="0" fontId="13" fillId="15" borderId="34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left" vertical="center"/>
    </xf>
    <xf numFmtId="0" fontId="13" fillId="2" borderId="34" xfId="0" applyFont="1" applyFill="1" applyBorder="1" applyAlignment="1">
      <alignment horizontal="left" vertical="center"/>
    </xf>
    <xf numFmtId="0" fontId="13" fillId="30" borderId="34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44" fontId="13" fillId="0" borderId="1" xfId="2" applyFont="1" applyBorder="1" applyAlignment="1">
      <alignment horizontal="right"/>
    </xf>
    <xf numFmtId="44" fontId="13" fillId="0" borderId="2" xfId="2" applyFont="1" applyBorder="1" applyAlignment="1">
      <alignment horizontal="right"/>
    </xf>
    <xf numFmtId="44" fontId="13" fillId="0" borderId="3" xfId="2" applyFont="1" applyBorder="1" applyAlignment="1">
      <alignment horizontal="right"/>
    </xf>
    <xf numFmtId="0" fontId="5" fillId="0" borderId="3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44" fontId="5" fillId="0" borderId="1" xfId="2" applyFont="1" applyBorder="1" applyAlignment="1">
      <alignment horizontal="right" vertical="center"/>
    </xf>
    <xf numFmtId="44" fontId="5" fillId="0" borderId="2" xfId="2" applyFont="1" applyBorder="1" applyAlignment="1">
      <alignment horizontal="right" vertical="center"/>
    </xf>
    <xf numFmtId="44" fontId="5" fillId="0" borderId="3" xfId="2" applyFont="1" applyBorder="1" applyAlignment="1">
      <alignment horizontal="right" vertical="center"/>
    </xf>
    <xf numFmtId="44" fontId="5" fillId="2" borderId="48" xfId="2" applyFont="1" applyFill="1" applyBorder="1" applyAlignment="1">
      <alignment horizontal="right"/>
    </xf>
    <xf numFmtId="44" fontId="5" fillId="2" borderId="23" xfId="2" applyFont="1" applyFill="1" applyBorder="1" applyAlignment="1">
      <alignment horizontal="right"/>
    </xf>
    <xf numFmtId="44" fontId="5" fillId="2" borderId="45" xfId="2" applyFont="1" applyFill="1" applyBorder="1" applyAlignment="1">
      <alignment horizontal="right"/>
    </xf>
    <xf numFmtId="0" fontId="13" fillId="0" borderId="35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13" fillId="2" borderId="33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2" borderId="54" xfId="0" applyFont="1" applyFill="1" applyBorder="1" applyAlignment="1">
      <alignment horizontal="center"/>
    </xf>
    <xf numFmtId="44" fontId="5" fillId="2" borderId="43" xfId="2" applyFont="1" applyFill="1" applyBorder="1" applyAlignment="1">
      <alignment horizontal="right"/>
    </xf>
    <xf numFmtId="44" fontId="5" fillId="2" borderId="26" xfId="2" applyFont="1" applyFill="1" applyBorder="1" applyAlignment="1">
      <alignment horizontal="right"/>
    </xf>
    <xf numFmtId="44" fontId="5" fillId="2" borderId="54" xfId="2" applyFont="1" applyFill="1" applyBorder="1" applyAlignment="1">
      <alignment horizontal="right"/>
    </xf>
    <xf numFmtId="2" fontId="13" fillId="10" borderId="19" xfId="0" applyNumberFormat="1" applyFont="1" applyFill="1" applyBorder="1" applyAlignment="1">
      <alignment horizontal="center"/>
    </xf>
    <xf numFmtId="2" fontId="13" fillId="10" borderId="20" xfId="0" applyNumberFormat="1" applyFont="1" applyFill="1" applyBorder="1" applyAlignment="1">
      <alignment horizontal="center"/>
    </xf>
    <xf numFmtId="2" fontId="13" fillId="10" borderId="21" xfId="0" applyNumberFormat="1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2" fontId="5" fillId="15" borderId="31" xfId="0" applyNumberFormat="1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left" vertical="center"/>
    </xf>
    <xf numFmtId="0" fontId="14" fillId="10" borderId="68" xfId="0" applyFont="1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44" fontId="5" fillId="0" borderId="34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3" fillId="0" borderId="17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/>
    </xf>
    <xf numFmtId="2" fontId="13" fillId="0" borderId="19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17" borderId="71" xfId="0" applyFont="1" applyFill="1" applyBorder="1" applyAlignment="1">
      <alignment horizontal="left" vertical="center"/>
    </xf>
    <xf numFmtId="0" fontId="13" fillId="17" borderId="76" xfId="0" applyFont="1" applyFill="1" applyBorder="1" applyAlignment="1">
      <alignment horizontal="left" vertical="center"/>
    </xf>
    <xf numFmtId="0" fontId="13" fillId="28" borderId="65" xfId="0" applyFont="1" applyFill="1" applyBorder="1" applyAlignment="1">
      <alignment horizontal="left" vertical="center"/>
    </xf>
    <xf numFmtId="0" fontId="13" fillId="28" borderId="45" xfId="0" applyFont="1" applyFill="1" applyBorder="1" applyAlignment="1">
      <alignment horizontal="left" vertical="center"/>
    </xf>
    <xf numFmtId="0" fontId="23" fillId="11" borderId="12" xfId="0" applyFont="1" applyFill="1" applyBorder="1" applyAlignment="1">
      <alignment horizontal="center" vertical="center"/>
    </xf>
    <xf numFmtId="0" fontId="23" fillId="11" borderId="13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0" fontId="23" fillId="11" borderId="9" xfId="0" applyFont="1" applyFill="1" applyBorder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0" fontId="23" fillId="11" borderId="1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15" borderId="12" xfId="0" applyFont="1" applyFill="1" applyBorder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13" fillId="15" borderId="9" xfId="0" applyFont="1" applyFill="1" applyBorder="1" applyAlignment="1">
      <alignment horizontal="center" vertical="center"/>
    </xf>
    <xf numFmtId="0" fontId="13" fillId="15" borderId="15" xfId="0" applyFont="1" applyFill="1" applyBorder="1" applyAlignment="1">
      <alignment horizontal="center" vertical="center"/>
    </xf>
    <xf numFmtId="0" fontId="13" fillId="15" borderId="16" xfId="0" applyFont="1" applyFill="1" applyBorder="1" applyAlignment="1">
      <alignment horizontal="center" vertical="center"/>
    </xf>
    <xf numFmtId="2" fontId="13" fillId="2" borderId="6" xfId="0" applyNumberFormat="1" applyFont="1" applyFill="1" applyBorder="1" applyAlignment="1">
      <alignment horizontal="center" vertical="center"/>
    </xf>
    <xf numFmtId="2" fontId="13" fillId="2" borderId="49" xfId="0" applyNumberFormat="1" applyFont="1" applyFill="1" applyBorder="1" applyAlignment="1">
      <alignment horizontal="center" vertical="center"/>
    </xf>
    <xf numFmtId="2" fontId="13" fillId="2" borderId="12" xfId="0" applyNumberFormat="1" applyFont="1" applyFill="1" applyBorder="1" applyAlignment="1">
      <alignment horizontal="center" vertical="center"/>
    </xf>
    <xf numFmtId="2" fontId="13" fillId="2" borderId="13" xfId="0" applyNumberFormat="1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2" fontId="13" fillId="2" borderId="9" xfId="0" applyNumberFormat="1" applyFont="1" applyFill="1" applyBorder="1" applyAlignment="1">
      <alignment horizontal="center" vertical="center"/>
    </xf>
    <xf numFmtId="2" fontId="13" fillId="2" borderId="15" xfId="0" applyNumberFormat="1" applyFont="1" applyFill="1" applyBorder="1" applyAlignment="1">
      <alignment horizontal="center" vertical="center"/>
    </xf>
    <xf numFmtId="2" fontId="13" fillId="2" borderId="16" xfId="0" applyNumberFormat="1" applyFont="1" applyFill="1" applyBorder="1" applyAlignment="1">
      <alignment horizontal="center" vertical="center"/>
    </xf>
    <xf numFmtId="0" fontId="13" fillId="10" borderId="65" xfId="0" applyFont="1" applyFill="1" applyBorder="1" applyAlignment="1">
      <alignment horizontal="left" vertical="center"/>
    </xf>
    <xf numFmtId="0" fontId="13" fillId="10" borderId="45" xfId="0" applyFont="1" applyFill="1" applyBorder="1" applyAlignment="1">
      <alignment horizontal="left" vertical="center"/>
    </xf>
    <xf numFmtId="0" fontId="13" fillId="0" borderId="65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2" fontId="5" fillId="34" borderId="19" xfId="0" applyNumberFormat="1" applyFont="1" applyFill="1" applyBorder="1" applyAlignment="1">
      <alignment horizontal="center" vertical="center"/>
    </xf>
    <xf numFmtId="2" fontId="5" fillId="34" borderId="21" xfId="0" applyNumberFormat="1" applyFont="1" applyFill="1" applyBorder="1" applyAlignment="1">
      <alignment horizontal="center" vertical="center"/>
    </xf>
    <xf numFmtId="44" fontId="13" fillId="0" borderId="19" xfId="2" applyFont="1" applyBorder="1" applyAlignment="1">
      <alignment horizontal="center" vertical="center"/>
    </xf>
    <xf numFmtId="44" fontId="13" fillId="0" borderId="20" xfId="2" applyFont="1" applyBorder="1" applyAlignment="1">
      <alignment horizontal="center" vertical="center"/>
    </xf>
    <xf numFmtId="44" fontId="13" fillId="0" borderId="21" xfId="2" applyFont="1" applyBorder="1" applyAlignment="1">
      <alignment horizontal="center" vertical="center"/>
    </xf>
    <xf numFmtId="0" fontId="5" fillId="15" borderId="19" xfId="0" applyFont="1" applyFill="1" applyBorder="1" applyAlignment="1">
      <alignment horizontal="left" vertical="center"/>
    </xf>
    <xf numFmtId="0" fontId="5" fillId="15" borderId="20" xfId="0" applyFont="1" applyFill="1" applyBorder="1" applyAlignment="1">
      <alignment horizontal="left" vertical="center"/>
    </xf>
    <xf numFmtId="0" fontId="5" fillId="15" borderId="21" xfId="0" applyFont="1" applyFill="1" applyBorder="1" applyAlignment="1">
      <alignment horizontal="left" vertical="center"/>
    </xf>
    <xf numFmtId="2" fontId="5" fillId="15" borderId="19" xfId="0" applyNumberFormat="1" applyFont="1" applyFill="1" applyBorder="1" applyAlignment="1">
      <alignment horizontal="center" vertical="center"/>
    </xf>
    <xf numFmtId="2" fontId="5" fillId="15" borderId="21" xfId="0" applyNumberFormat="1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left" vertical="center"/>
    </xf>
    <xf numFmtId="0" fontId="5" fillId="10" borderId="20" xfId="0" applyFont="1" applyFill="1" applyBorder="1" applyAlignment="1">
      <alignment horizontal="left" vertical="center"/>
    </xf>
    <xf numFmtId="0" fontId="5" fillId="10" borderId="21" xfId="0" applyFont="1" applyFill="1" applyBorder="1" applyAlignment="1">
      <alignment horizontal="left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46" xfId="0" applyFont="1" applyBorder="1"/>
    <xf numFmtId="0" fontId="5" fillId="0" borderId="65" xfId="0" applyFont="1" applyBorder="1"/>
    <xf numFmtId="0" fontId="5" fillId="0" borderId="23" xfId="0" applyFont="1" applyBorder="1"/>
    <xf numFmtId="0" fontId="5" fillId="0" borderId="32" xfId="0" applyFont="1" applyBorder="1"/>
    <xf numFmtId="0" fontId="6" fillId="0" borderId="48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2" fontId="6" fillId="10" borderId="48" xfId="0" applyNumberFormat="1" applyFont="1" applyFill="1" applyBorder="1" applyAlignment="1">
      <alignment horizontal="center"/>
    </xf>
    <xf numFmtId="2" fontId="6" fillId="10" borderId="23" xfId="0" applyNumberFormat="1" applyFont="1" applyFill="1" applyBorder="1" applyAlignment="1">
      <alignment horizontal="center"/>
    </xf>
    <xf numFmtId="2" fontId="6" fillId="10" borderId="45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0" fillId="0" borderId="6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2" xfId="0" applyBorder="1" applyAlignment="1">
      <alignment horizontal="center"/>
    </xf>
    <xf numFmtId="169" fontId="0" fillId="0" borderId="48" xfId="0" applyNumberFormat="1" applyBorder="1" applyAlignment="1">
      <alignment horizontal="center"/>
    </xf>
    <xf numFmtId="169" fontId="0" fillId="0" borderId="23" xfId="0" applyNumberFormat="1" applyBorder="1" applyAlignment="1">
      <alignment horizontal="center"/>
    </xf>
    <xf numFmtId="169" fontId="0" fillId="0" borderId="45" xfId="0" applyNumberFormat="1" applyBorder="1" applyAlignment="1">
      <alignment horizontal="center"/>
    </xf>
    <xf numFmtId="0" fontId="0" fillId="0" borderId="65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169" fontId="0" fillId="0" borderId="48" xfId="0" applyNumberFormat="1" applyBorder="1" applyAlignment="1">
      <alignment horizontal="center" vertical="center"/>
    </xf>
    <xf numFmtId="169" fontId="0" fillId="0" borderId="23" xfId="0" applyNumberFormat="1" applyBorder="1" applyAlignment="1">
      <alignment horizontal="center" vertical="center"/>
    </xf>
    <xf numFmtId="169" fontId="0" fillId="0" borderId="45" xfId="0" applyNumberFormat="1" applyBorder="1" applyAlignment="1">
      <alignment horizontal="center" vertical="center"/>
    </xf>
    <xf numFmtId="0" fontId="19" fillId="33" borderId="68" xfId="0" applyFont="1" applyFill="1" applyBorder="1" applyAlignment="1">
      <alignment horizontal="center"/>
    </xf>
    <xf numFmtId="0" fontId="19" fillId="33" borderId="69" xfId="0" applyFont="1" applyFill="1" applyBorder="1" applyAlignment="1">
      <alignment horizontal="center"/>
    </xf>
    <xf numFmtId="0" fontId="19" fillId="33" borderId="70" xfId="0" applyFont="1" applyFill="1" applyBorder="1" applyAlignment="1">
      <alignment horizontal="center"/>
    </xf>
    <xf numFmtId="0" fontId="5" fillId="0" borderId="65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5" fillId="15" borderId="46" xfId="0" applyFont="1" applyFill="1" applyBorder="1" applyAlignment="1">
      <alignment horizontal="left" vertical="center"/>
    </xf>
    <xf numFmtId="0" fontId="2" fillId="33" borderId="19" xfId="0" applyFont="1" applyFill="1" applyBorder="1" applyAlignment="1">
      <alignment horizontal="center"/>
    </xf>
    <xf numFmtId="0" fontId="2" fillId="33" borderId="20" xfId="0" applyFont="1" applyFill="1" applyBorder="1" applyAlignment="1">
      <alignment horizontal="center"/>
    </xf>
    <xf numFmtId="0" fontId="2" fillId="33" borderId="21" xfId="0" applyFont="1" applyFill="1" applyBorder="1" applyAlignment="1">
      <alignment horizontal="center"/>
    </xf>
    <xf numFmtId="44" fontId="13" fillId="0" borderId="73" xfId="0" applyNumberFormat="1" applyFont="1" applyBorder="1" applyAlignment="1">
      <alignment horizontal="center"/>
    </xf>
    <xf numFmtId="44" fontId="13" fillId="0" borderId="47" xfId="0" applyNumberFormat="1" applyFont="1" applyBorder="1" applyAlignment="1">
      <alignment horizontal="center"/>
    </xf>
    <xf numFmtId="0" fontId="13" fillId="0" borderId="32" xfId="0" applyFont="1" applyBorder="1" applyAlignment="1">
      <alignment horizontal="left" vertical="center"/>
    </xf>
    <xf numFmtId="0" fontId="13" fillId="17" borderId="65" xfId="0" applyFont="1" applyFill="1" applyBorder="1" applyAlignment="1">
      <alignment horizontal="left" vertical="center"/>
    </xf>
    <xf numFmtId="0" fontId="13" fillId="17" borderId="45" xfId="0" applyFont="1" applyFill="1" applyBorder="1" applyAlignment="1">
      <alignment horizontal="left" vertical="center"/>
    </xf>
    <xf numFmtId="0" fontId="5" fillId="0" borderId="48" xfId="0" applyFont="1" applyBorder="1" applyAlignment="1">
      <alignment horizontal="left"/>
    </xf>
    <xf numFmtId="0" fontId="13" fillId="2" borderId="17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3" fillId="2" borderId="47" xfId="0" applyFont="1" applyFill="1" applyBorder="1" applyAlignment="1">
      <alignment horizontal="center"/>
    </xf>
    <xf numFmtId="44" fontId="5" fillId="2" borderId="17" xfId="2" applyFont="1" applyFill="1" applyBorder="1" applyAlignment="1">
      <alignment horizontal="right"/>
    </xf>
    <xf numFmtId="44" fontId="5" fillId="2" borderId="18" xfId="2" applyFont="1" applyFill="1" applyBorder="1" applyAlignment="1">
      <alignment horizontal="right"/>
    </xf>
    <xf numFmtId="44" fontId="5" fillId="2" borderId="78" xfId="2" applyFont="1" applyFill="1" applyBorder="1" applyAlignment="1">
      <alignment horizontal="right" vertical="center"/>
    </xf>
    <xf numFmtId="44" fontId="5" fillId="2" borderId="21" xfId="2" applyFont="1" applyFill="1" applyBorder="1" applyAlignment="1">
      <alignment horizontal="right" vertical="center"/>
    </xf>
    <xf numFmtId="2" fontId="13" fillId="0" borderId="20" xfId="0" applyNumberFormat="1" applyFont="1" applyBorder="1" applyAlignment="1">
      <alignment horizontal="center" vertical="center"/>
    </xf>
    <xf numFmtId="2" fontId="13" fillId="0" borderId="21" xfId="0" applyNumberFormat="1" applyFont="1" applyBorder="1" applyAlignment="1">
      <alignment horizontal="center" vertical="center"/>
    </xf>
    <xf numFmtId="0" fontId="5" fillId="15" borderId="18" xfId="0" applyFont="1" applyFill="1" applyBorder="1" applyAlignment="1">
      <alignment horizontal="left" vertical="center"/>
    </xf>
    <xf numFmtId="44" fontId="5" fillId="2" borderId="47" xfId="2" applyFont="1" applyFill="1" applyBorder="1" applyAlignment="1">
      <alignment horizontal="righ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44" fontId="13" fillId="0" borderId="12" xfId="2" applyFont="1" applyBorder="1" applyAlignment="1">
      <alignment horizontal="center" vertical="center"/>
    </xf>
    <xf numFmtId="44" fontId="13" fillId="0" borderId="13" xfId="2" applyFont="1" applyBorder="1" applyAlignment="1">
      <alignment horizontal="center" vertical="center"/>
    </xf>
    <xf numFmtId="44" fontId="13" fillId="0" borderId="14" xfId="2" applyFont="1" applyBorder="1" applyAlignment="1">
      <alignment horizontal="center" vertical="center"/>
    </xf>
    <xf numFmtId="44" fontId="13" fillId="0" borderId="9" xfId="2" applyFont="1" applyBorder="1" applyAlignment="1">
      <alignment horizontal="center" vertical="center"/>
    </xf>
    <xf numFmtId="44" fontId="13" fillId="0" borderId="15" xfId="2" applyFont="1" applyBorder="1" applyAlignment="1">
      <alignment horizontal="center" vertical="center"/>
    </xf>
    <xf numFmtId="44" fontId="13" fillId="0" borderId="16" xfId="2" applyFont="1" applyBorder="1" applyAlignment="1">
      <alignment horizontal="center" vertical="center"/>
    </xf>
    <xf numFmtId="0" fontId="5" fillId="0" borderId="73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44" fontId="5" fillId="2" borderId="18" xfId="2" applyFont="1" applyFill="1" applyBorder="1" applyAlignment="1">
      <alignment horizontal="right" vertical="center"/>
    </xf>
    <xf numFmtId="0" fontId="8" fillId="11" borderId="68" xfId="0" applyFont="1" applyFill="1" applyBorder="1" applyAlignment="1">
      <alignment horizontal="center" vertical="center" wrapText="1"/>
    </xf>
    <xf numFmtId="0" fontId="8" fillId="11" borderId="75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15" borderId="19" xfId="0" applyFont="1" applyFill="1" applyBorder="1" applyAlignment="1">
      <alignment horizontal="center" vertical="center"/>
    </xf>
    <xf numFmtId="0" fontId="13" fillId="15" borderId="4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41" xfId="0" applyFont="1" applyFill="1" applyBorder="1" applyAlignment="1">
      <alignment horizontal="left" vertical="center"/>
    </xf>
    <xf numFmtId="44" fontId="13" fillId="0" borderId="72" xfId="2" applyFont="1" applyBorder="1" applyAlignment="1">
      <alignment horizontal="right" vertical="center"/>
    </xf>
    <xf numFmtId="44" fontId="13" fillId="0" borderId="64" xfId="2" applyFont="1" applyBorder="1" applyAlignment="1">
      <alignment horizontal="right" vertical="center"/>
    </xf>
    <xf numFmtId="44" fontId="13" fillId="0" borderId="79" xfId="2" applyFont="1" applyBorder="1" applyAlignment="1">
      <alignment horizontal="right" vertical="center"/>
    </xf>
    <xf numFmtId="44" fontId="13" fillId="0" borderId="71" xfId="2" applyFont="1" applyBorder="1" applyAlignment="1">
      <alignment horizontal="right" vertical="center"/>
    </xf>
    <xf numFmtId="44" fontId="13" fillId="0" borderId="40" xfId="2" applyFont="1" applyBorder="1" applyAlignment="1">
      <alignment horizontal="right" vertical="center"/>
    </xf>
    <xf numFmtId="44" fontId="13" fillId="0" borderId="76" xfId="2" applyFont="1" applyBorder="1" applyAlignment="1">
      <alignment horizontal="right" vertical="center"/>
    </xf>
    <xf numFmtId="0" fontId="5" fillId="15" borderId="44" xfId="0" applyFont="1" applyFill="1" applyBorder="1" applyAlignment="1">
      <alignment horizontal="left"/>
    </xf>
    <xf numFmtId="0" fontId="5" fillId="15" borderId="69" xfId="0" applyFont="1" applyFill="1" applyBorder="1" applyAlignment="1">
      <alignment horizontal="left"/>
    </xf>
    <xf numFmtId="0" fontId="5" fillId="15" borderId="75" xfId="0" applyFont="1" applyFill="1" applyBorder="1" applyAlignment="1">
      <alignment horizontal="left"/>
    </xf>
    <xf numFmtId="44" fontId="5" fillId="2" borderId="44" xfId="2" applyFont="1" applyFill="1" applyBorder="1" applyAlignment="1">
      <alignment horizontal="right"/>
    </xf>
    <xf numFmtId="44" fontId="5" fillId="2" borderId="69" xfId="2" applyFont="1" applyFill="1" applyBorder="1" applyAlignment="1">
      <alignment horizontal="right"/>
    </xf>
    <xf numFmtId="44" fontId="5" fillId="2" borderId="70" xfId="2" applyFont="1" applyFill="1" applyBorder="1" applyAlignment="1">
      <alignment horizontal="right"/>
    </xf>
    <xf numFmtId="44" fontId="13" fillId="0" borderId="65" xfId="2" applyFont="1" applyBorder="1" applyAlignment="1">
      <alignment horizontal="right" vertical="center"/>
    </xf>
    <xf numFmtId="44" fontId="13" fillId="0" borderId="23" xfId="2" applyFont="1" applyBorder="1" applyAlignment="1">
      <alignment horizontal="right" vertical="center"/>
    </xf>
    <xf numFmtId="44" fontId="13" fillId="0" borderId="45" xfId="2" applyFont="1" applyBorder="1" applyAlignment="1">
      <alignment horizontal="right" vertical="center"/>
    </xf>
    <xf numFmtId="0" fontId="5" fillId="15" borderId="48" xfId="0" applyFont="1" applyFill="1" applyBorder="1" applyAlignment="1">
      <alignment horizontal="left"/>
    </xf>
    <xf numFmtId="0" fontId="5" fillId="15" borderId="23" xfId="0" applyFont="1" applyFill="1" applyBorder="1" applyAlignment="1">
      <alignment horizontal="left"/>
    </xf>
    <xf numFmtId="0" fontId="5" fillId="15" borderId="32" xfId="0" applyFont="1" applyFill="1" applyBorder="1" applyAlignment="1">
      <alignment horizontal="left"/>
    </xf>
    <xf numFmtId="44" fontId="13" fillId="0" borderId="65" xfId="2" applyFont="1" applyBorder="1" applyAlignment="1">
      <alignment horizontal="right"/>
    </xf>
    <xf numFmtId="44" fontId="13" fillId="0" borderId="23" xfId="2" applyFont="1" applyBorder="1" applyAlignment="1">
      <alignment horizontal="right"/>
    </xf>
    <xf numFmtId="44" fontId="13" fillId="0" borderId="45" xfId="2" applyFont="1" applyBorder="1" applyAlignment="1">
      <alignment horizontal="right"/>
    </xf>
    <xf numFmtId="0" fontId="5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4" fontId="5" fillId="28" borderId="68" xfId="2" applyFont="1" applyFill="1" applyBorder="1" applyAlignment="1">
      <alignment horizontal="right" vertical="center"/>
    </xf>
    <xf numFmtId="44" fontId="5" fillId="28" borderId="69" xfId="2" applyFont="1" applyFill="1" applyBorder="1" applyAlignment="1">
      <alignment horizontal="right" vertical="center"/>
    </xf>
    <xf numFmtId="44" fontId="5" fillId="28" borderId="70" xfId="2" applyFont="1" applyFill="1" applyBorder="1" applyAlignment="1">
      <alignment horizontal="right" vertical="center"/>
    </xf>
    <xf numFmtId="0" fontId="5" fillId="2" borderId="68" xfId="0" applyFont="1" applyFill="1" applyBorder="1" applyAlignment="1">
      <alignment horizontal="left" vertical="center"/>
    </xf>
    <xf numFmtId="0" fontId="5" fillId="2" borderId="69" xfId="0" applyFont="1" applyFill="1" applyBorder="1" applyAlignment="1">
      <alignment horizontal="left" vertical="center"/>
    </xf>
    <xf numFmtId="0" fontId="5" fillId="2" borderId="75" xfId="0" applyFont="1" applyFill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65" xfId="0" applyFont="1" applyBorder="1" applyAlignment="1">
      <alignment horizontal="left" vertical="center"/>
    </xf>
    <xf numFmtId="164" fontId="5" fillId="15" borderId="44" xfId="0" applyNumberFormat="1" applyFont="1" applyFill="1" applyBorder="1" applyAlignment="1">
      <alignment horizontal="center" vertical="center"/>
    </xf>
    <xf numFmtId="164" fontId="5" fillId="15" borderId="69" xfId="0" applyNumberFormat="1" applyFont="1" applyFill="1" applyBorder="1" applyAlignment="1">
      <alignment horizontal="center" vertical="center"/>
    </xf>
    <xf numFmtId="164" fontId="5" fillId="15" borderId="70" xfId="0" applyNumberFormat="1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46" xfId="0" applyFont="1" applyFill="1" applyBorder="1" applyAlignment="1">
      <alignment horizontal="left" vertical="center"/>
    </xf>
    <xf numFmtId="0" fontId="5" fillId="2" borderId="7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18" fontId="5" fillId="0" borderId="73" xfId="0" applyNumberFormat="1" applyFont="1" applyBorder="1" applyAlignment="1">
      <alignment horizontal="center" vertical="center"/>
    </xf>
    <xf numFmtId="18" fontId="5" fillId="0" borderId="18" xfId="0" applyNumberFormat="1" applyFont="1" applyBorder="1" applyAlignment="1">
      <alignment horizontal="center" vertical="center"/>
    </xf>
    <xf numFmtId="18" fontId="5" fillId="0" borderId="47" xfId="0" applyNumberFormat="1" applyFont="1" applyBorder="1" applyAlignment="1">
      <alignment horizontal="center" vertical="center"/>
    </xf>
    <xf numFmtId="44" fontId="5" fillId="0" borderId="78" xfId="0" applyNumberFormat="1" applyFont="1" applyBorder="1" applyAlignment="1">
      <alignment horizontal="center"/>
    </xf>
    <xf numFmtId="44" fontId="5" fillId="0" borderId="20" xfId="0" applyNumberFormat="1" applyFont="1" applyBorder="1" applyAlignment="1">
      <alignment horizontal="center"/>
    </xf>
    <xf numFmtId="44" fontId="5" fillId="0" borderId="21" xfId="0" applyNumberFormat="1" applyFont="1" applyBorder="1" applyAlignment="1">
      <alignment horizontal="center"/>
    </xf>
    <xf numFmtId="44" fontId="5" fillId="2" borderId="73" xfId="2" applyFont="1" applyFill="1" applyBorder="1" applyAlignment="1">
      <alignment horizontal="right"/>
    </xf>
    <xf numFmtId="43" fontId="13" fillId="0" borderId="48" xfId="0" applyNumberFormat="1" applyFont="1" applyBorder="1" applyAlignment="1">
      <alignment horizontal="center"/>
    </xf>
    <xf numFmtId="43" fontId="13" fillId="0" borderId="45" xfId="0" applyNumberFormat="1" applyFont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73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46" xfId="0" applyFont="1" applyBorder="1" applyAlignment="1">
      <alignment horizontal="left"/>
    </xf>
    <xf numFmtId="0" fontId="5" fillId="0" borderId="48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6" xfId="0" applyBorder="1" applyAlignment="1">
      <alignment horizontal="center"/>
    </xf>
    <xf numFmtId="2" fontId="6" fillId="10" borderId="65" xfId="0" applyNumberFormat="1" applyFont="1" applyFill="1" applyBorder="1" applyAlignment="1">
      <alignment horizontal="center"/>
    </xf>
    <xf numFmtId="2" fontId="6" fillId="10" borderId="32" xfId="0" applyNumberFormat="1" applyFont="1" applyFill="1" applyBorder="1" applyAlignment="1">
      <alignment horizontal="center"/>
    </xf>
    <xf numFmtId="169" fontId="0" fillId="0" borderId="2" xfId="0" applyNumberForma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37">
    <dxf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1"/>
        <name val="Calibri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u val="none"/>
        <sz val="11"/>
        <color theme="0"/>
        <name val="Calibri"/>
      </font>
      <fill>
        <patternFill patternType="none">
          <fgColor indexed="64"/>
          <bgColor indexed="65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u val="none"/>
        <sz val="8"/>
        <color theme="0"/>
        <name val="Calibri"/>
      </font>
      <fill>
        <patternFill patternType="solid">
          <fgColor indexed="65"/>
          <bgColor theme="3"/>
        </patternFill>
      </fill>
      <alignment horizontal="right" vertical="center" textRotation="0" wrapText="1" indent="0" shrinkToFit="0" readingOrder="0"/>
    </dxf>
    <dxf>
      <border>
        <left/>
        <right style="medium">
          <color auto="1"/>
        </right>
        <top/>
        <bottom/>
        <vertical/>
        <horizontal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>
        <left style="medium">
          <color auto="1"/>
        </left>
        <right/>
        <top/>
        <bottom/>
        <vertical/>
        <horizontal/>
      </border>
    </dxf>
    <dxf>
      <border>
        <left/>
        <right style="thick">
          <color rgb="FFC00000"/>
        </right>
        <top/>
        <bottom/>
        <vertical/>
        <horizontal/>
      </border>
    </dxf>
    <dxf>
      <border>
        <left style="thick">
          <color rgb="FFC00000"/>
        </left>
        <right/>
        <top/>
        <bottom/>
        <vertical/>
        <horizontal/>
      </border>
    </dxf>
    <dxf>
      <border>
        <left/>
        <right style="thick">
          <color rgb="FFC00000"/>
        </right>
        <top/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center" vertical="bottom" textRotation="0" wrapText="0" indent="0" shrinkToFit="0" readingOrder="0"/>
      <border>
        <left style="thick">
          <color rgb="FFC00000"/>
        </left>
        <right/>
        <top/>
        <bottom/>
        <vertical/>
        <horizontal/>
      </border>
    </dxf>
    <dxf>
      <border>
        <left style="medium">
          <color auto="1"/>
        </left>
        <right style="medium">
          <color auto="1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'G-Stat'!$B$22</c:f>
              <c:strCache>
                <c:ptCount val="1"/>
                <c:pt idx="0">
                  <c:v>BEGINNING</c:v>
                </c:pt>
              </c:strCache>
            </c:strRef>
          </c:tx>
          <c:invertIfNegative val="0"/>
          <c:val>
            <c:numRef>
              <c:f>'G-Stat'!$C$22:$AG$22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[1]!#REF!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3C2-474C-AB33-F55344E7461D}"/>
            </c:ext>
          </c:extLst>
        </c:ser>
        <c:ser>
          <c:idx val="1"/>
          <c:order val="1"/>
          <c:tx>
            <c:strRef>
              <c:f>'G-Stat'!$B$23</c:f>
              <c:strCache>
                <c:ptCount val="1"/>
                <c:pt idx="0">
                  <c:v>ENDING</c:v>
                </c:pt>
              </c:strCache>
            </c:strRef>
          </c:tx>
          <c:invertIfNegative val="0"/>
          <c:val>
            <c:numRef>
              <c:f>'G-Stat'!$C$23:$AG$23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[1]!#REF!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3C2-474C-AB33-F55344E7461D}"/>
            </c:ext>
          </c:extLst>
        </c:ser>
        <c:ser>
          <c:idx val="2"/>
          <c:order val="2"/>
          <c:tx>
            <c:strRef>
              <c:f>'G-Stat'!$B$24</c:f>
              <c:strCache>
                <c:ptCount val="1"/>
                <c:pt idx="0">
                  <c:v>TOTAL </c:v>
                </c:pt>
              </c:strCache>
            </c:strRef>
          </c:tx>
          <c:invertIfNegative val="0"/>
          <c:val>
            <c:numRef>
              <c:f>'G-Stat'!$C$24:$AG$24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[1]!#REF!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3C2-474C-AB33-F55344E7461D}"/>
            </c:ext>
          </c:extLst>
        </c:ser>
        <c:ser>
          <c:idx val="3"/>
          <c:order val="3"/>
          <c:tx>
            <c:strRef>
              <c:f>'G-Stat'!$B$25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val>
            <c:numRef>
              <c:f>'G-Stat'!$C$25:$AG$25</c:f>
              <c:numCache>
                <c:formatCode>0.00</c:formatCode>
                <c:ptCount val="31"/>
                <c:pt idx="0" formatCode="General">
                  <c:v>2.9990000000000001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[1]!#REF!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3C2-474C-AB33-F55344E7461D}"/>
            </c:ext>
          </c:extLst>
        </c:ser>
        <c:ser>
          <c:idx val="4"/>
          <c:order val="4"/>
          <c:tx>
            <c:strRef>
              <c:f>'G-Stat'!$B$26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val>
            <c:numRef>
              <c:f>'G-Stat'!$C$26:$AG$26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[1]!#REF!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3C2-474C-AB33-F55344E74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12282"/>
        <c:axId val="33010810"/>
      </c:barChart>
      <c:catAx>
        <c:axId val="103122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33010810"/>
        <c:crosses val="autoZero"/>
        <c:auto val="1"/>
        <c:lblAlgn val="ctr"/>
        <c:lblOffset val="100"/>
        <c:noMultiLvlLbl val="0"/>
      </c:catAx>
      <c:valAx>
        <c:axId val="3301081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spPr>
          <a:ln w="9525" cap="flat" cmpd="sng"/>
        </c:spPr>
        <c:crossAx val="1031228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 rot="0" vert="horz" wrap="square"/>
    <a:lstStyle/>
    <a:p>
      <a:pPr>
        <a:defRPr lang="en-US" u="none" baseline="0"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'G-Stat'!$B$34</c:f>
              <c:strCache>
                <c:ptCount val="1"/>
                <c:pt idx="0">
                  <c:v>BEGINNING</c:v>
                </c:pt>
              </c:strCache>
            </c:strRef>
          </c:tx>
          <c:invertIfNegative val="0"/>
          <c:cat>
            <c:numRef>
              <c:f>'G-Stat'!$C$33:$AG$33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'G-Stat'!$C$34:$AG$34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C-492D-B591-4F66732FEF0F}"/>
            </c:ext>
          </c:extLst>
        </c:ser>
        <c:ser>
          <c:idx val="1"/>
          <c:order val="1"/>
          <c:tx>
            <c:strRef>
              <c:f>'G-Stat'!$B$35</c:f>
              <c:strCache>
                <c:ptCount val="1"/>
                <c:pt idx="0">
                  <c:v>ENDING</c:v>
                </c:pt>
              </c:strCache>
            </c:strRef>
          </c:tx>
          <c:invertIfNegative val="0"/>
          <c:cat>
            <c:numRef>
              <c:f>'G-Stat'!$C$33:$AG$33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'G-Stat'!$C$35:$AG$35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C-492D-B591-4F66732FEF0F}"/>
            </c:ext>
          </c:extLst>
        </c:ser>
        <c:ser>
          <c:idx val="2"/>
          <c:order val="2"/>
          <c:tx>
            <c:strRef>
              <c:f>'G-Stat'!$B$36</c:f>
              <c:strCache>
                <c:ptCount val="1"/>
                <c:pt idx="0">
                  <c:v>TOTAL </c:v>
                </c:pt>
              </c:strCache>
            </c:strRef>
          </c:tx>
          <c:invertIfNegative val="0"/>
          <c:cat>
            <c:numRef>
              <c:f>'G-Stat'!$C$33:$AG$33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'G-Stat'!$C$36:$AG$36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C-492D-B591-4F66732FEF0F}"/>
            </c:ext>
          </c:extLst>
        </c:ser>
        <c:ser>
          <c:idx val="3"/>
          <c:order val="3"/>
          <c:tx>
            <c:strRef>
              <c:f>'G-Stat'!$B$37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numRef>
              <c:f>'G-Stat'!$C$33:$AG$33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'G-Stat'!$C$37:$AG$37</c:f>
              <c:numCache>
                <c:formatCode>0.00</c:formatCode>
                <c:ptCount val="31"/>
                <c:pt idx="0">
                  <c:v>2.5990000000000002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C-492D-B591-4F66732FEF0F}"/>
            </c:ext>
          </c:extLst>
        </c:ser>
        <c:ser>
          <c:idx val="4"/>
          <c:order val="4"/>
          <c:tx>
            <c:strRef>
              <c:f>'G-Stat'!$B$38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numRef>
              <c:f>'G-Stat'!$C$33:$AG$33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'G-Stat'!$C$38:$AG$38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4C-492D-B591-4F66732FE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6982"/>
        <c:axId val="58793022"/>
      </c:barChart>
      <c:catAx>
        <c:axId val="91069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58793022"/>
        <c:crosses val="autoZero"/>
        <c:auto val="1"/>
        <c:lblAlgn val="ctr"/>
        <c:lblOffset val="100"/>
        <c:noMultiLvlLbl val="0"/>
      </c:catAx>
      <c:valAx>
        <c:axId val="5879302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spPr>
          <a:ln w="9525" cap="flat" cmpd="sng"/>
        </c:spPr>
        <c:crossAx val="910698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 rot="0" vert="horz" wrap="square"/>
    <a:lstStyle/>
    <a:p>
      <a:pPr>
        <a:defRPr lang="en-US" u="none" baseline="0"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'G-Stat'!$B$46</c:f>
              <c:strCache>
                <c:ptCount val="1"/>
                <c:pt idx="0">
                  <c:v>BEGINNING</c:v>
                </c:pt>
              </c:strCache>
            </c:strRef>
          </c:tx>
          <c:invertIfNegative val="0"/>
          <c:cat>
            <c:numRef>
              <c:f>'G-Stat'!$C$45:$AG$45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'G-Stat'!$C$46:$AG$46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2-4470-8099-44228113AF42}"/>
            </c:ext>
          </c:extLst>
        </c:ser>
        <c:ser>
          <c:idx val="1"/>
          <c:order val="1"/>
          <c:tx>
            <c:strRef>
              <c:f>'G-Stat'!$B$47</c:f>
              <c:strCache>
                <c:ptCount val="1"/>
                <c:pt idx="0">
                  <c:v>ENDING</c:v>
                </c:pt>
              </c:strCache>
            </c:strRef>
          </c:tx>
          <c:invertIfNegative val="0"/>
          <c:cat>
            <c:numRef>
              <c:f>'G-Stat'!$C$45:$AG$45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'G-Stat'!$C$47:$AG$47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2-4470-8099-44228113AF42}"/>
            </c:ext>
          </c:extLst>
        </c:ser>
        <c:ser>
          <c:idx val="2"/>
          <c:order val="2"/>
          <c:tx>
            <c:strRef>
              <c:f>'G-Stat'!$B$48</c:f>
              <c:strCache>
                <c:ptCount val="1"/>
                <c:pt idx="0">
                  <c:v>TOTAL </c:v>
                </c:pt>
              </c:strCache>
            </c:strRef>
          </c:tx>
          <c:invertIfNegative val="0"/>
          <c:cat>
            <c:numRef>
              <c:f>'G-Stat'!$C$45:$AG$45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'G-Stat'!$C$48:$AG$48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72-4470-8099-44228113AF42}"/>
            </c:ext>
          </c:extLst>
        </c:ser>
        <c:ser>
          <c:idx val="3"/>
          <c:order val="3"/>
          <c:tx>
            <c:strRef>
              <c:f>'G-Stat'!$B$49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numRef>
              <c:f>'G-Stat'!$C$45:$AG$45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'G-Stat'!$C$49:$AG$49</c:f>
              <c:numCache>
                <c:formatCode>0.00</c:formatCode>
                <c:ptCount val="31"/>
                <c:pt idx="0">
                  <c:v>3.1589999999999998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72-4470-8099-44228113AF42}"/>
            </c:ext>
          </c:extLst>
        </c:ser>
        <c:ser>
          <c:idx val="4"/>
          <c:order val="4"/>
          <c:tx>
            <c:strRef>
              <c:f>'G-Stat'!$B$50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numRef>
              <c:f>'G-Stat'!$C$45:$AG$45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'G-Stat'!$C$50:$AG$50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72-4470-8099-44228113A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02914"/>
        <c:axId val="27714578"/>
      </c:barChart>
      <c:catAx>
        <c:axId val="129029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27714578"/>
        <c:crosses val="autoZero"/>
        <c:auto val="1"/>
        <c:lblAlgn val="ctr"/>
        <c:lblOffset val="100"/>
        <c:noMultiLvlLbl val="0"/>
      </c:catAx>
      <c:valAx>
        <c:axId val="2771457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spPr>
          <a:ln w="9525" cap="flat" cmpd="sng"/>
        </c:spPr>
        <c:crossAx val="1290291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 rot="0" vert="horz" wrap="square"/>
    <a:lstStyle/>
    <a:p>
      <a:pPr>
        <a:defRPr lang="en-US" u="none" baseline="0"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'G-Stat'!$B$57</c:f>
              <c:strCache>
                <c:ptCount val="1"/>
                <c:pt idx="0">
                  <c:v>BEGINNING</c:v>
                </c:pt>
              </c:strCache>
            </c:strRef>
          </c:tx>
          <c:invertIfNegative val="0"/>
          <c:val>
            <c:numRef>
              <c:f>'G-Stat'!$C$57:$AG$57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D-4922-8B00-B7F93D9C010F}"/>
            </c:ext>
          </c:extLst>
        </c:ser>
        <c:ser>
          <c:idx val="1"/>
          <c:order val="1"/>
          <c:tx>
            <c:strRef>
              <c:f>'G-Stat'!$B$58</c:f>
              <c:strCache>
                <c:ptCount val="1"/>
                <c:pt idx="0">
                  <c:v>ENDING</c:v>
                </c:pt>
              </c:strCache>
            </c:strRef>
          </c:tx>
          <c:invertIfNegative val="0"/>
          <c:val>
            <c:numRef>
              <c:f>'G-Stat'!$C$58:$AG$58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D-4922-8B00-B7F93D9C010F}"/>
            </c:ext>
          </c:extLst>
        </c:ser>
        <c:ser>
          <c:idx val="2"/>
          <c:order val="2"/>
          <c:tx>
            <c:strRef>
              <c:f>'G-Stat'!$B$59</c:f>
              <c:strCache>
                <c:ptCount val="1"/>
                <c:pt idx="0">
                  <c:v>TOTAL </c:v>
                </c:pt>
              </c:strCache>
            </c:strRef>
          </c:tx>
          <c:invertIfNegative val="0"/>
          <c:val>
            <c:numRef>
              <c:f>'G-Stat'!$C$59:$AG$59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D-4922-8B00-B7F93D9C010F}"/>
            </c:ext>
          </c:extLst>
        </c:ser>
        <c:ser>
          <c:idx val="3"/>
          <c:order val="3"/>
          <c:tx>
            <c:strRef>
              <c:f>'G-Stat'!$B$60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val>
            <c:numRef>
              <c:f>'G-Stat'!$C$60:$AG$60</c:f>
              <c:numCache>
                <c:formatCode>0.00</c:formatCode>
                <c:ptCount val="31"/>
                <c:pt idx="0">
                  <c:v>2.859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D-4922-8B00-B7F93D9C010F}"/>
            </c:ext>
          </c:extLst>
        </c:ser>
        <c:ser>
          <c:idx val="4"/>
          <c:order val="4"/>
          <c:tx>
            <c:strRef>
              <c:f>'G-Stat'!$B$61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val>
            <c:numRef>
              <c:f>'G-Stat'!$C$61:$AG$61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D-4922-8B00-B7F93D9C0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51854"/>
        <c:axId val="64547830"/>
      </c:barChart>
      <c:catAx>
        <c:axId val="143518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64547830"/>
        <c:crosses val="autoZero"/>
        <c:auto val="1"/>
        <c:lblAlgn val="ctr"/>
        <c:lblOffset val="100"/>
        <c:noMultiLvlLbl val="0"/>
      </c:catAx>
      <c:valAx>
        <c:axId val="6454783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spPr>
          <a:ln w="9525" cap="flat" cmpd="sng"/>
        </c:spPr>
        <c:crossAx val="1435185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9525" cap="flat" cmpd="sng">
      <a:solidFill>
        <a:srgbClr val="FFFF00"/>
      </a:solidFill>
    </a:ln>
    <a:effectLst/>
  </c:spPr>
  <c:txPr>
    <a:bodyPr rot="0" vert="horz" wrap="square"/>
    <a:lstStyle/>
    <a:p>
      <a:pPr>
        <a:defRPr lang="en-US" u="none" baseline="0"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  <c:spPr>
        <a:noFill/>
        <a:ln>
          <a:noFill/>
        </a:ln>
      </c:spPr>
      <c:txPr>
        <a:bodyPr rot="0" vert="horz" wrap="square"/>
        <a:lstStyle/>
        <a:p>
          <a:pPr>
            <a:defRPr lang="en-US" sz="1800" b="1" u="none" baseline="0">
              <a:solidFill>
                <a:srgbClr val="FFFF00"/>
              </a:solidFill>
              <a:latin typeface="Calibri"/>
              <a:ea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'S-Detail'!$C$5</c:f>
              <c:strCache>
                <c:ptCount val="1"/>
                <c:pt idx="0">
                  <c:v>GAS</c:v>
                </c:pt>
              </c:strCache>
            </c:strRef>
          </c:tx>
          <c:invertIfNegative val="0"/>
          <c:val>
            <c:numRef>
              <c:f>'S-Detail'!$C$6:$C$44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A-461E-B7D7-5A1DF0541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61342"/>
        <c:axId val="31116486"/>
      </c:barChart>
      <c:catAx>
        <c:axId val="2806134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31116486"/>
        <c:crosses val="autoZero"/>
        <c:auto val="1"/>
        <c:lblAlgn val="ctr"/>
        <c:lblOffset val="100"/>
        <c:noMultiLvlLbl val="0"/>
      </c:catAx>
      <c:valAx>
        <c:axId val="3111648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spPr>
          <a:ln w="9525" cap="flat" cmpd="sng"/>
        </c:spPr>
        <c:txPr>
          <a:bodyPr wrap="square"/>
          <a:lstStyle/>
          <a:p>
            <a:pPr>
              <a:defRPr lang="en-US" sz="1000" u="none" baseline="0">
                <a:solidFill>
                  <a:srgbClr val="FFFF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8061342"/>
        <c:crosses val="autoZero"/>
        <c:crossBetween val="between"/>
      </c:valAx>
    </c:plotArea>
    <c:plotVisOnly val="1"/>
    <c:dispBlanksAs val="gap"/>
    <c:showDLblsOverMax val="0"/>
  </c:chart>
  <c:spPr>
    <a:gradFill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lin ang="5400000"/>
    </a:gradFill>
    <a:effectLst>
      <a:glow rad="228600">
        <a:schemeClr val="accent2">
          <a:satMod val="175000"/>
          <a:alpha val="40000"/>
        </a:schemeClr>
      </a:glow>
    </a:effec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overlay val="0"/>
      <c:spPr>
        <a:noFill/>
        <a:ln>
          <a:noFill/>
        </a:ln>
      </c:spPr>
      <c:txPr>
        <a:bodyPr rot="0" vert="horz" wrap="square"/>
        <a:lstStyle/>
        <a:p>
          <a:pPr>
            <a:defRPr lang="en-US" sz="1800" b="1" u="none" baseline="0">
              <a:solidFill>
                <a:srgbClr val="FFFF00"/>
              </a:solidFill>
              <a:latin typeface="Calibri"/>
              <a:ea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'S-Detail'!$D$5</c:f>
              <c:strCache>
                <c:ptCount val="1"/>
                <c:pt idx="0">
                  <c:v>LOTTO</c:v>
                </c:pt>
              </c:strCache>
            </c:strRef>
          </c:tx>
          <c:invertIfNegative val="0"/>
          <c:val>
            <c:numRef>
              <c:f>'S-Detail'!$D$6:$D$44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0-44C5-8DF2-C02DF540A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66606"/>
        <c:axId val="10923670"/>
      </c:barChart>
      <c:catAx>
        <c:axId val="381666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txPr>
          <a:bodyPr wrap="square"/>
          <a:lstStyle/>
          <a:p>
            <a:pPr>
              <a:defRPr lang="en-US" u="none" baseline="0">
                <a:solidFill>
                  <a:srgbClr val="000000"/>
                </a:solidFill>
              </a:defRPr>
            </a:pPr>
            <a:endParaRPr lang="en-US"/>
          </a:p>
        </c:txPr>
        <c:crossAx val="10923670"/>
        <c:crosses val="autoZero"/>
        <c:auto val="1"/>
        <c:lblAlgn val="ctr"/>
        <c:lblOffset val="100"/>
        <c:noMultiLvlLbl val="0"/>
      </c:catAx>
      <c:valAx>
        <c:axId val="1092367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spPr>
          <a:ln w="9525" cap="flat" cmpd="sng"/>
        </c:spPr>
        <c:crossAx val="38166606"/>
        <c:crosses val="autoZero"/>
        <c:crossBetween val="between"/>
      </c:valAx>
    </c:plotArea>
    <c:plotVisOnly val="1"/>
    <c:dispBlanksAs val="gap"/>
    <c:showDLblsOverMax val="0"/>
  </c:chart>
  <c:spPr>
    <a:gradFill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lin ang="5400000"/>
    </a:gradFill>
    <a:effectLst>
      <a:glow rad="228600">
        <a:schemeClr val="accent6">
          <a:satMod val="175000"/>
          <a:alpha val="40000"/>
        </a:schemeClr>
      </a:glow>
    </a:effectLst>
  </c:spPr>
  <c:txPr>
    <a:bodyPr rot="0" vert="horz" wrap="square"/>
    <a:lstStyle/>
    <a:p>
      <a:pPr>
        <a:defRPr lang="en-US" u="none" baseline="0">
          <a:solidFill>
            <a:srgbClr val="FFFF00"/>
          </a:solidFill>
          <a:latin typeface="Calibri"/>
          <a:ea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overlay val="0"/>
      <c:spPr>
        <a:noFill/>
        <a:ln>
          <a:noFill/>
        </a:ln>
      </c:spPr>
      <c:txPr>
        <a:bodyPr rot="0" vert="horz" wrap="square"/>
        <a:lstStyle/>
        <a:p>
          <a:pPr>
            <a:defRPr lang="en-US" sz="1800" b="1" u="none" baseline="0">
              <a:solidFill>
                <a:srgbClr val="FFFF00"/>
              </a:solidFill>
              <a:latin typeface="Calibri"/>
              <a:ea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'S-Detail'!$E$5</c:f>
              <c:strCache>
                <c:ptCount val="1"/>
                <c:pt idx="0">
                  <c:v>PHONECD</c:v>
                </c:pt>
              </c:strCache>
            </c:strRef>
          </c:tx>
          <c:invertIfNegative val="0"/>
          <c:val>
            <c:numRef>
              <c:f>'S-Detail'!$E$6:$E$44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2-48AF-BE46-04E04CD59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66602"/>
        <c:axId val="32527882"/>
      </c:barChart>
      <c:catAx>
        <c:axId val="233666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txPr>
          <a:bodyPr wrap="square"/>
          <a:lstStyle/>
          <a:p>
            <a:pPr>
              <a:defRPr lang="en-US" u="none" baseline="0">
                <a:solidFill>
                  <a:srgbClr val="000000"/>
                </a:solidFill>
              </a:defRPr>
            </a:pPr>
            <a:endParaRPr lang="en-US"/>
          </a:p>
        </c:txPr>
        <c:crossAx val="32527882"/>
        <c:crosses val="autoZero"/>
        <c:auto val="1"/>
        <c:lblAlgn val="ctr"/>
        <c:lblOffset val="100"/>
        <c:noMultiLvlLbl val="0"/>
      </c:catAx>
      <c:valAx>
        <c:axId val="3252788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spPr>
          <a:ln w="9525" cap="flat" cmpd="sng"/>
        </c:spPr>
        <c:crossAx val="23366602"/>
        <c:crosses val="autoZero"/>
        <c:crossBetween val="between"/>
      </c:valAx>
    </c:plotArea>
    <c:plotVisOnly val="1"/>
    <c:dispBlanksAs val="gap"/>
    <c:showDLblsOverMax val="0"/>
  </c:chart>
  <c:spPr>
    <a:gradFill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lin ang="5400000"/>
    </a:gradFill>
    <a:effectLst>
      <a:glow rad="228600">
        <a:schemeClr val="accent3">
          <a:satMod val="175000"/>
          <a:alpha val="40000"/>
        </a:schemeClr>
      </a:glow>
    </a:effectLst>
  </c:spPr>
  <c:txPr>
    <a:bodyPr rot="0" vert="horz" wrap="square"/>
    <a:lstStyle/>
    <a:p>
      <a:pPr>
        <a:defRPr lang="en-US" u="none" baseline="0">
          <a:solidFill>
            <a:srgbClr val="FFFF00"/>
          </a:solidFill>
          <a:latin typeface="Calibri"/>
          <a:ea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overlay val="0"/>
      <c:spPr>
        <a:noFill/>
        <a:ln>
          <a:noFill/>
        </a:ln>
      </c:spPr>
      <c:txPr>
        <a:bodyPr rot="0" vert="horz" wrap="square"/>
        <a:lstStyle/>
        <a:p>
          <a:pPr>
            <a:defRPr lang="en-US" sz="1800" b="1" u="none" baseline="0">
              <a:solidFill>
                <a:srgbClr val="FFFF00"/>
              </a:solidFill>
              <a:latin typeface="Calibri"/>
              <a:ea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'S-Detail'!$F$5</c:f>
              <c:strCache>
                <c:ptCount val="1"/>
                <c:pt idx="0">
                  <c:v>INSIDE SALES</c:v>
                </c:pt>
              </c:strCache>
            </c:strRef>
          </c:tx>
          <c:invertIfNegative val="0"/>
          <c:val>
            <c:numRef>
              <c:f>'S-Detail'!$F$6:$F$44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3-46FB-9386-44AC1956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14646"/>
        <c:axId val="40304014"/>
      </c:barChart>
      <c:catAx>
        <c:axId val="461146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40304014"/>
        <c:crosses val="autoZero"/>
        <c:auto val="1"/>
        <c:lblAlgn val="ctr"/>
        <c:lblOffset val="100"/>
        <c:noMultiLvlLbl val="0"/>
      </c:catAx>
      <c:valAx>
        <c:axId val="4030401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spPr>
          <a:ln w="9525" cap="flat" cmpd="sng"/>
        </c:spPr>
        <c:txPr>
          <a:bodyPr wrap="square"/>
          <a:lstStyle/>
          <a:p>
            <a:pPr>
              <a:defRPr lang="en-US" sz="1000" u="none" baseline="0">
                <a:solidFill>
                  <a:srgbClr val="FFFF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14646"/>
        <c:crosses val="autoZero"/>
        <c:crossBetween val="between"/>
      </c:valAx>
    </c:plotArea>
    <c:plotVisOnly val="1"/>
    <c:dispBlanksAs val="gap"/>
    <c:showDLblsOverMax val="0"/>
  </c:chart>
  <c:spPr>
    <a:gradFill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lin ang="5400000"/>
    </a:gradFill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overlay val="0"/>
      <c:spPr>
        <a:noFill/>
        <a:ln>
          <a:noFill/>
        </a:ln>
      </c:spPr>
      <c:txPr>
        <a:bodyPr rot="0" vert="horz" wrap="square"/>
        <a:lstStyle/>
        <a:p>
          <a:pPr>
            <a:defRPr lang="en-US" sz="1800" b="1" u="none" baseline="0">
              <a:solidFill>
                <a:srgbClr val="FFFF00"/>
              </a:solidFill>
              <a:latin typeface="Calibri"/>
              <a:ea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'S-Detail'!$G$5</c:f>
              <c:strCache>
                <c:ptCount val="1"/>
                <c:pt idx="0">
                  <c:v>NET SALES</c:v>
                </c:pt>
              </c:strCache>
            </c:strRef>
          </c:tx>
          <c:invertIfNegative val="0"/>
          <c:val>
            <c:numRef>
              <c:f>'S-Detail'!$G$6:$G$44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1-479D-B775-2192ADF64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2130"/>
        <c:axId val="3835170"/>
      </c:barChart>
      <c:catAx>
        <c:axId val="109821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3835170"/>
        <c:crosses val="autoZero"/>
        <c:auto val="1"/>
        <c:lblAlgn val="ctr"/>
        <c:lblOffset val="100"/>
        <c:noMultiLvlLbl val="0"/>
      </c:catAx>
      <c:valAx>
        <c:axId val="383517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spPr>
          <a:ln w="9525" cap="flat" cmpd="sng"/>
        </c:spPr>
        <c:txPr>
          <a:bodyPr wrap="square"/>
          <a:lstStyle/>
          <a:p>
            <a:pPr>
              <a:defRPr lang="en-US" sz="1000" b="1" u="none" baseline="0">
                <a:solidFill>
                  <a:srgbClr val="FFFF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2130"/>
        <c:crosses val="autoZero"/>
        <c:crossBetween val="between"/>
      </c:valAx>
    </c:plotArea>
    <c:plotVisOnly val="1"/>
    <c:dispBlanksAs val="gap"/>
    <c:showDLblsOverMax val="0"/>
  </c:chart>
  <c:spPr>
    <a:gradFill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lin ang="5400000"/>
    </a:gradFill>
    <a:effectLst>
      <a:glow rad="228600">
        <a:schemeClr val="accent5">
          <a:satMod val="175000"/>
          <a:alpha val="40000"/>
        </a:schemeClr>
      </a:glow>
    </a:effec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2</xdr:row>
      <xdr:rowOff>76200</xdr:rowOff>
    </xdr:from>
    <xdr:to>
      <xdr:col>16</xdr:col>
      <xdr:colOff>19050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50800</xdr:rowOff>
    </xdr:from>
    <xdr:to>
      <xdr:col>16</xdr:col>
      <xdr:colOff>50800</xdr:colOff>
      <xdr:row>30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34</xdr:row>
      <xdr:rowOff>44450</xdr:rowOff>
    </xdr:from>
    <xdr:to>
      <xdr:col>16</xdr:col>
      <xdr:colOff>25400</xdr:colOff>
      <xdr:row>46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596900</xdr:colOff>
      <xdr:row>50</xdr:row>
      <xdr:rowOff>31750</xdr:rowOff>
    </xdr:from>
    <xdr:to>
      <xdr:col>16</xdr:col>
      <xdr:colOff>12700</xdr:colOff>
      <xdr:row>65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12700</xdr:rowOff>
    </xdr:from>
    <xdr:to>
      <xdr:col>15</xdr:col>
      <xdr:colOff>387350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15</xdr:col>
      <xdr:colOff>463550</xdr:colOff>
      <xdr:row>33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15</xdr:col>
      <xdr:colOff>425450</xdr:colOff>
      <xdr:row>50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15</xdr:col>
      <xdr:colOff>438150</xdr:colOff>
      <xdr:row>67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15</xdr:col>
      <xdr:colOff>463550</xdr:colOff>
      <xdr:row>84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Z45" totalsRowShown="0">
  <autoFilter ref="A3:Z45" xr:uid="{00000000-0009-0000-0100-000001000000}"/>
  <tableColumns count="26">
    <tableColumn id="1" xr3:uid="{00000000-0010-0000-0000-000001000000}" name="Column1" dataDxfId="36"/>
    <tableColumn id="6" xr3:uid="{00000000-0010-0000-0000-000006000000}" name="SALES" dataDxfId="35"/>
    <tableColumn id="7" xr3:uid="{00000000-0010-0000-0000-000007000000}" name="Column5" dataDxfId="34"/>
    <tableColumn id="8" xr3:uid="{00000000-0010-0000-0000-000008000000}" name="Column6"/>
    <tableColumn id="32" xr3:uid="{00000000-0010-0000-0000-000020000000}" name="Column62" dataDxfId="33"/>
    <tableColumn id="9" xr3:uid="{00000000-0010-0000-0000-000009000000}" name="Column7"/>
    <tableColumn id="10" xr3:uid="{00000000-0010-0000-0000-00000A000000}" name="Column8"/>
    <tableColumn id="33" xr3:uid="{00000000-0010-0000-0000-000021000000}" name="Column82" dataDxfId="32"/>
    <tableColumn id="11" xr3:uid="{00000000-0010-0000-0000-00000B000000}" name="Column9" dataDxfId="31"/>
    <tableColumn id="12" xr3:uid="{00000000-0010-0000-0000-00000C000000}" name="COMMISSIONS" dataDxfId="30"/>
    <tableColumn id="34" xr3:uid="{00000000-0010-0000-0000-000022000000}" name="Column23"/>
    <tableColumn id="40" xr3:uid="{00000000-0010-0000-0000-000028000000}" name="Column232"/>
    <tableColumn id="35" xr3:uid="{00000000-0010-0000-0000-000023000000}" name="Column24"/>
    <tableColumn id="13" xr3:uid="{00000000-0010-0000-0000-00000D000000}" name="Column10" dataDxfId="29"/>
    <tableColumn id="14" xr3:uid="{00000000-0010-0000-0000-00000E000000}" name="Column11" dataDxfId="28"/>
    <tableColumn id="15" xr3:uid="{00000000-0010-0000-0000-00000F000000}" name="Column12"/>
    <tableColumn id="16" xr3:uid="{00000000-0010-0000-0000-000010000000}" name="Column13"/>
    <tableColumn id="37" xr3:uid="{00000000-0010-0000-0000-000025000000}" name="Column132"/>
    <tableColumn id="38" xr3:uid="{00000000-0010-0000-0000-000026000000}" name="Column133"/>
    <tableColumn id="39" xr3:uid="{00000000-0010-0000-0000-000027000000}" name="Column134"/>
    <tableColumn id="20" xr3:uid="{00000000-0010-0000-0000-000014000000}" name="Column1342" dataDxfId="27"/>
    <tableColumn id="19" xr3:uid="{00000000-0010-0000-0000-000013000000}" name="Column135" dataDxfId="26"/>
    <tableColumn id="21" xr3:uid="{00000000-0010-0000-0000-000015000000}" name="Column136" dataDxfId="25"/>
    <tableColumn id="22" xr3:uid="{00000000-0010-0000-0000-000016000000}" name="Column137" dataDxfId="24"/>
    <tableColumn id="17" xr3:uid="{00000000-0010-0000-0000-000011000000}" name="Column14"/>
    <tableColumn id="18" xr3:uid="{00000000-0010-0000-0000-000012000000}" name="Column15" dataDxfId="23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C3:H9" totalsRowShown="0" headerRowDxfId="22">
  <autoFilter ref="C3:H9" xr:uid="{00000000-0009-0000-0100-000004000000}"/>
  <tableColumns count="6">
    <tableColumn id="1" xr3:uid="{00000000-0010-0000-0100-000001000000}" name="Column1"/>
    <tableColumn id="2" xr3:uid="{00000000-0010-0000-0100-000002000000}" name="Column2" dataDxfId="21">
      <calculatedColumnFormula>'INV-2'!B5+'INV-2'!G5+'INV-2'!L5+'INV-2'!B13+'INV-2'!G13+'INV-2'!L13+'INV-2'!B21+'INV-2'!G21+'INV-2'!L21+'INV-2'!B29+'INV-2'!G29+'INV-2'!L29+'INV-2'!B37+'INV-2'!G37+'INV-2'!L37</calculatedColumnFormula>
    </tableColumn>
    <tableColumn id="3" xr3:uid="{00000000-0010-0000-0100-000003000000}" name="Column3" dataDxfId="20">
      <calculatedColumnFormula>'INV-2'!C21+'INV-2'!H21+'INV-2'!M21+'INV-2'!C29+'INV-2'!H29+'INV-2'!M29+'INV-2'!C37+'INV-2'!H37+'INV-2'!M37</calculatedColumnFormula>
    </tableColumn>
    <tableColumn id="4" xr3:uid="{00000000-0010-0000-0100-000004000000}" name="Column4" dataDxfId="19">
      <calculatedColumnFormula>'INV-2'!D5+'INV-2'!I5+'INV-2'!N5+'INV-2'!D13+'INV-2'!I13+'INV-2'!N13+'INV-2'!D21+'INV-2'!I21+'INV-2'!N21+'INV-2'!D37+'INV-2'!I37+'INV-2'!N37</calculatedColumnFormula>
    </tableColumn>
    <tableColumn id="6" xr3:uid="{00000000-0010-0000-0100-000006000000}" name="Column42" dataDxfId="18">
      <calculatedColumnFormula>Table4[[#This Row],[Column4]]/Table4[[#This Row],[Column2]]+Table4[[#This Row],[Column3]]*100</calculatedColumnFormula>
    </tableColumn>
    <tableColumn id="5" xr3:uid="{00000000-0010-0000-0100-000005000000}" name="Column5" dataDxfId="17">
      <calculatedColumnFormula>'INV-2'!E5+'INV-2'!J5+'INV-2'!O5+'INV-2'!E13+'INV-2'!J13+'INV-2'!O13+'INV-2'!E21+'INV-2'!J21+'INV-2'!O21+'INV-2'!E29+'INV-2'!J29+'INV-2'!O29+'INV-2'!E37+'INV-2'!J37+'INV-2'!O37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O32" totalsRowShown="0" headerRowDxfId="16" dataDxfId="15">
  <autoFilter ref="A1:O32" xr:uid="{00000000-0009-0000-0100-000002000000}"/>
  <tableColumns count="15">
    <tableColumn id="1" xr3:uid="{00000000-0010-0000-0200-000001000000}" name="Date" dataDxfId="14"/>
    <tableColumn id="2" xr3:uid="{00000000-0010-0000-0200-000002000000}" name="Employee 1" dataDxfId="13"/>
    <tableColumn id="3" xr3:uid="{00000000-0010-0000-0200-000003000000}" name="Employee 2" dataDxfId="12"/>
    <tableColumn id="4" xr3:uid="{00000000-0010-0000-0200-000004000000}" name="Employee 3" dataDxfId="11"/>
    <tableColumn id="5" xr3:uid="{00000000-0010-0000-0200-000005000000}" name="Employe 1 Sales" dataDxfId="10"/>
    <tableColumn id="6" xr3:uid="{00000000-0010-0000-0200-000006000000}" name="Employe 2 Sales" dataDxfId="9"/>
    <tableColumn id="7" xr3:uid="{00000000-0010-0000-0200-000007000000}" name="Employe 3 Sales" dataDxfId="8"/>
    <tableColumn id="8" xr3:uid="{00000000-0010-0000-0200-000008000000}" name="Day" dataDxfId="7"/>
    <tableColumn id="9" xr3:uid="{00000000-0010-0000-0200-000009000000}" name="Merchandise Sales" dataDxfId="6"/>
    <tableColumn id="10" xr3:uid="{00000000-0010-0000-0200-00000A000000}" name="Lotto Sales" dataDxfId="5"/>
    <tableColumn id="11" xr3:uid="{00000000-0010-0000-0200-00000B000000}" name="Gas Sales" dataDxfId="4"/>
    <tableColumn id="12" xr3:uid="{00000000-0010-0000-0200-00000C000000}" name="Amusement In" dataDxfId="3"/>
    <tableColumn id="15" xr3:uid="{00000000-0010-0000-0200-00000F000000}" name="Amusement Out" dataDxfId="2"/>
    <tableColumn id="13" xr3:uid="{00000000-0010-0000-0200-00000D000000}" name="Sales Tax In" dataDxfId="1"/>
    <tableColumn id="14" xr3:uid="{00000000-0010-0000-0200-00000E000000}" name="Shee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A53D-3F2C-4B3E-8E9B-4639B8DDB9A7}">
  <sheetPr codeName="Sheet1"/>
  <sheetViews>
    <sheetView workbookViewId="0">
      <selection activeCell="L20" sqref="L20"/>
    </sheetView>
  </sheetViews>
  <sheetFormatPr defaultColWidth="9.1796875" defaultRowHeight="14.5" x14ac:dyDescent="0.35"/>
  <cols>
    <col min="1" max="1" width="28.54296875" customWidth="1"/>
    <col min="2" max="2" width="8.7265625" customWidth="1"/>
    <col min="3" max="3" width="16.1796875" customWidth="1"/>
    <col min="4" max="4" width="11.26953125" customWidth="1"/>
    <col min="5" max="5" width="10.54296875" customWidth="1"/>
    <col min="6" max="6" width="1.54296875" customWidth="1"/>
    <col min="7" max="7" width="12.81640625" customWidth="1"/>
  </cols>
  <sheetData>
    <row r="2" spans="2:5" x14ac:dyDescent="0.35">
      <c r="B2" t="s" s="347">
        <v>170</v>
      </c>
      <c r="C2" s="347"/>
      <c r="D2" s="347"/>
    </row>
    <row r="3" spans="2:5" s="58" customFormat="1" x14ac:dyDescent="0.35">
      <c r="C3" t="s" s="348">
        <v>207</v>
      </c>
      <c r="D3" s="348"/>
    </row>
    <row r="4" spans="2:5" x14ac:dyDescent="0.35">
      <c r="C4" t="s" s="45">
        <v>193</v>
      </c>
      <c r="D4" s="81">
        <f>'PL-WM'!E4</f>
      </c>
    </row>
    <row r="5" spans="2:5" x14ac:dyDescent="0.35">
      <c r="C5" t="s" s="45">
        <v>195</v>
      </c>
      <c r="D5" s="81">
        <f>'PL-WM'!E5</f>
      </c>
    </row>
    <row r="6" spans="2:5" x14ac:dyDescent="0.35">
      <c r="C6" t="s" s="45">
        <v>196</v>
      </c>
      <c r="D6" s="81">
        <f>'PL-WM'!E6</f>
      </c>
    </row>
    <row r="7" spans="2:5" x14ac:dyDescent="0.35">
      <c r="C7" t="s" s="45">
        <v>197</v>
      </c>
      <c r="D7" s="81">
        <f>'PL-WM'!E7</f>
      </c>
    </row>
    <row r="8" spans="2:5" x14ac:dyDescent="0.35">
      <c r="C8" t="s" s="45">
        <v>198</v>
      </c>
      <c r="D8" s="81">
        <f>'PL-WM'!E8</f>
      </c>
    </row>
    <row r="9" spans="2:5" x14ac:dyDescent="0.35">
      <c r="C9" t="s" s="4">
        <v>194</v>
      </c>
      <c r="D9" s="81"/>
      <c r="E9" s="171">
        <f>SUM(D4:D8)</f>
      </c>
    </row>
    <row r="11" spans="2:5" x14ac:dyDescent="0.35">
      <c r="C11" t="s" s="348">
        <v>165</v>
      </c>
      <c r="D11" s="348"/>
    </row>
    <row r="12" spans="2:5" x14ac:dyDescent="0.35">
      <c r="C12" t="s" s="45">
        <v>193</v>
      </c>
      <c r="D12" s="81">
        <f>'PL-WM'!M4</f>
      </c>
    </row>
    <row r="13" spans="2:5" x14ac:dyDescent="0.35">
      <c r="C13" t="s" s="45">
        <v>195</v>
      </c>
      <c r="D13" s="81">
        <f>'PL-WM'!M5</f>
      </c>
    </row>
    <row r="14" spans="2:5" x14ac:dyDescent="0.35">
      <c r="C14" t="s" s="45">
        <v>196</v>
      </c>
      <c r="D14" s="81">
        <f>'PL-WM'!M6</f>
      </c>
    </row>
    <row r="15" spans="2:5" x14ac:dyDescent="0.35">
      <c r="C15" t="s" s="45">
        <v>197</v>
      </c>
      <c r="D15" s="81">
        <f>'PL-WM'!M7</f>
      </c>
    </row>
    <row r="16" spans="2:5" x14ac:dyDescent="0.35">
      <c r="C16" t="s" s="45">
        <v>198</v>
      </c>
      <c r="D16" s="81">
        <f>'PL-WM'!M8</f>
      </c>
    </row>
    <row r="17" spans="3:5" x14ac:dyDescent="0.35">
      <c r="C17" t="s" s="4">
        <v>199</v>
      </c>
      <c r="D17" s="81"/>
      <c r="E17" s="171">
        <f>SUM(D12:D16)</f>
      </c>
    </row>
    <row r="19" spans="3:5" x14ac:dyDescent="0.35">
      <c r="C19" t="s" s="348">
        <v>205</v>
      </c>
      <c r="D19" s="348"/>
      <c r="E19" s="349"/>
    </row>
    <row r="20" spans="3:5" x14ac:dyDescent="0.35">
      <c r="C20" t="s" s="45">
        <v>193</v>
      </c>
      <c r="D20" s="134">
        <f>'PL-WM'!O4</f>
      </c>
    </row>
    <row r="21" spans="3:5" x14ac:dyDescent="0.35">
      <c r="C21" t="s" s="45">
        <v>195</v>
      </c>
      <c r="D21" s="134">
        <f>'PL-WM'!O5</f>
      </c>
    </row>
    <row r="22" spans="3:5" x14ac:dyDescent="0.35">
      <c r="C22" t="s" s="45">
        <v>196</v>
      </c>
      <c r="D22" s="134">
        <f>'PL-WM'!O6</f>
      </c>
    </row>
    <row r="23" spans="3:5" x14ac:dyDescent="0.35">
      <c r="C23" t="s" s="45">
        <v>197</v>
      </c>
      <c r="D23" s="134">
        <f>'PL-WM'!O7</f>
      </c>
    </row>
    <row r="24" spans="3:5" x14ac:dyDescent="0.35">
      <c r="C24" t="s" s="45">
        <v>198</v>
      </c>
      <c r="D24" s="134">
        <f>'PL-WM'!O8</f>
      </c>
    </row>
    <row r="25" spans="3:5" x14ac:dyDescent="0.35">
      <c r="C25" t="s" s="4">
        <v>206</v>
      </c>
      <c r="D25" s="4"/>
      <c r="E25" s="170">
        <f>SUM(D20:D24)</f>
      </c>
    </row>
    <row r="27" spans="3:5" x14ac:dyDescent="0.35">
      <c r="C27" t="s" s="348">
        <v>169</v>
      </c>
      <c r="D27" s="348"/>
      <c r="E27" s="349"/>
    </row>
    <row r="28" spans="3:5" x14ac:dyDescent="0.35">
      <c r="C28" t="s" s="45">
        <v>193</v>
      </c>
      <c r="D28" s="134">
        <f>'PL-WM'!W4</f>
      </c>
    </row>
    <row r="29" spans="3:5" x14ac:dyDescent="0.35">
      <c r="C29" t="s" s="45">
        <v>195</v>
      </c>
      <c r="D29" s="134">
        <f>'PL-WM'!W5</f>
      </c>
    </row>
    <row r="30" spans="3:5" x14ac:dyDescent="0.35">
      <c r="C30" t="s" s="45">
        <v>196</v>
      </c>
      <c r="D30" s="134">
        <f>'PL-WM'!W6</f>
      </c>
    </row>
    <row r="31" spans="3:5" x14ac:dyDescent="0.35">
      <c r="C31" t="s" s="45">
        <v>197</v>
      </c>
      <c r="D31" s="134">
        <f>'PL-WM'!W7</f>
      </c>
    </row>
    <row r="32" spans="3:5" x14ac:dyDescent="0.35">
      <c r="C32" t="s" s="45">
        <v>198</v>
      </c>
      <c r="D32" s="134">
        <f>'PL-WM'!W8</f>
      </c>
    </row>
    <row r="33" spans="2:5" x14ac:dyDescent="0.35">
      <c r="C33" t="s" s="4">
        <v>200</v>
      </c>
      <c r="D33" s="4"/>
      <c r="E33" s="170">
        <f>SUM(D28:D32)</f>
      </c>
    </row>
    <row r="36" spans="2:5" x14ac:dyDescent="0.35">
      <c r="B36" t="s" s="347">
        <v>201</v>
      </c>
      <c r="C36" s="347"/>
      <c r="D36" s="347"/>
    </row>
    <row r="37" spans="2:5" x14ac:dyDescent="0.35">
      <c r="C37" t="s" s="45">
        <v>171</v>
      </c>
      <c r="D37" s="47">
        <f>'PL-WM'!Y9</f>
      </c>
      <c r="E37" s="172"/>
    </row>
    <row r="38" spans="2:5" x14ac:dyDescent="0.35">
      <c r="C38" t="s" s="45">
        <v>202</v>
      </c>
      <c r="D38" s="47">
        <f>'PL-WM'!Z9</f>
      </c>
      <c r="E38" s="172"/>
    </row>
    <row r="39" spans="2:5" x14ac:dyDescent="0.35">
      <c r="C39" t="s" s="45">
        <v>203</v>
      </c>
      <c r="D39" s="47">
        <f>'PL-WM'!AA9</f>
      </c>
      <c r="E39" s="172"/>
    </row>
    <row r="40" spans="2:5" x14ac:dyDescent="0.35">
      <c r="C40" t="s" s="45">
        <v>178</v>
      </c>
      <c r="D40" s="47">
        <f>'PL-WM'!AB9</f>
      </c>
      <c r="E40" s="172"/>
    </row>
    <row r="41" spans="2:5" x14ac:dyDescent="0.35">
      <c r="C41" t="s" s="45">
        <v>174</v>
      </c>
      <c r="D41" s="47">
        <f>'PL-WM'!AC9</f>
      </c>
      <c r="E41" s="172"/>
    </row>
    <row r="42" spans="2:5" x14ac:dyDescent="0.35">
      <c r="C42" t="s" s="45">
        <v>172</v>
      </c>
      <c r="D42" s="47">
        <f>'PL-WM'!AD9</f>
      </c>
      <c r="E42" s="172"/>
    </row>
    <row r="43" spans="2:5" x14ac:dyDescent="0.35">
      <c r="C43" t="s" s="45">
        <v>179</v>
      </c>
      <c r="D43" s="47">
        <f>'PL-WM'!AE9</f>
      </c>
      <c r="E43" s="172"/>
    </row>
    <row r="44" spans="2:5" x14ac:dyDescent="0.35">
      <c r="C44" t="s" s="45">
        <v>173</v>
      </c>
      <c r="D44" s="47">
        <f>'PL-WM'!AF9</f>
      </c>
      <c r="E44" s="172"/>
    </row>
    <row r="45" spans="2:5" x14ac:dyDescent="0.35">
      <c r="C45" t="s" s="45">
        <v>28</v>
      </c>
      <c r="D45" s="47">
        <f>'PL-WM'!AG9</f>
      </c>
      <c r="E45" s="172"/>
    </row>
    <row r="46" spans="2:5" x14ac:dyDescent="0.35">
      <c r="C46" t="s" s="45">
        <v>204</v>
      </c>
      <c r="D46" s="47">
        <f>'PL-WM'!AH9</f>
      </c>
      <c r="E46" s="172"/>
    </row>
    <row r="47" spans="2:5" x14ac:dyDescent="0.35">
      <c r="C47" t="s" s="45">
        <v>157</v>
      </c>
      <c r="D47" s="47">
        <f>'PL-WM'!AI9</f>
      </c>
      <c r="E47" s="172"/>
    </row>
    <row r="48" spans="2:5" x14ac:dyDescent="0.35">
      <c r="E48" s="172"/>
    </row>
    <row r="49" spans="3:5" x14ac:dyDescent="0.35">
      <c r="C49" t="s" s="4">
        <v>208</v>
      </c>
      <c r="E49" s="173">
        <f>SUM(D37:D47)</f>
      </c>
    </row>
  </sheetData>
  <mergeCells count="6">
    <mergeCell ref="B2:D2"/>
    <mergeCell ref="B36:D36"/>
    <mergeCell ref="C3:D3"/>
    <mergeCell ref="C11:D11"/>
    <mergeCell ref="C19:E19"/>
    <mergeCell ref="C27:E27"/>
  </mergeCells>
  <pageMargins left="0.25" right="0.25" top="0.75" bottom="0.75" header="0.3" footer="0.3"/>
  <pageSetup scale="80" orientation="portrait" r:id="rId1"/>
  <headerFooter>
    <oddHeader xml:space="preserve">&amp;C&amp;"-,Bold"&amp;14PROFIT AND LOSS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58B7-E52D-46E2-AABF-D6C8579DB9A7}">
  <sheetPr codeName="Sheet2"/>
  <sheetViews>
    <sheetView workbookViewId="0">
      <selection activeCell="L20" sqref="L20"/>
    </sheetView>
  </sheetViews>
  <sheetFormatPr defaultColWidth="9.1796875" defaultRowHeight="14.5" x14ac:dyDescent="0.35"/>
  <cols>
    <col min="1" max="1" width="2.54296875" customWidth="1"/>
    <col min="2" max="2" width="6" customWidth="1"/>
    <col min="3" max="3" width="10.7265625" customWidth="1"/>
    <col min="4" max="4" width="11.1796875" customWidth="1"/>
    <col min="5" max="5" width="10.1796875" customWidth="1"/>
    <col min="6" max="6" width="0.54296875" customWidth="1"/>
    <col min="7" max="7" width="10.81640625" customWidth="1"/>
    <col min="9" max="9" width="8.453125" customWidth="1"/>
    <col min="13" max="13" width="9.81640625" customWidth="1"/>
    <col min="14" max="14" width="0.54296875" customWidth="1"/>
    <col min="15" max="15" width="10.7265625" customWidth="1"/>
    <col min="16" max="16" width="1.1796875" customWidth="1"/>
    <col min="17" max="22" width="10.81640625" customWidth="1"/>
    <col min="24" max="24" width="0.7265625" customWidth="1"/>
    <col min="28" max="28" width="13.26953125" customWidth="1"/>
    <col min="31" max="31" width="13.1796875" customWidth="1"/>
    <col min="34" max="34" width="12.1796875" customWidth="1"/>
    <col min="35" max="36" width="9.7265625" customWidth="1"/>
    <col min="37" max="37" width="1.1796875" customWidth="1"/>
    <col min="38" max="38" width="9.453125" customWidth="1"/>
  </cols>
  <sheetData>
    <row r="2" spans="2:38" x14ac:dyDescent="0.35">
      <c r="B2" s="45"/>
      <c r="C2" t="s" s="352">
        <v>61</v>
      </c>
      <c r="D2" s="352"/>
      <c r="E2" s="352"/>
      <c r="G2" t="s" s="352">
        <v>153</v>
      </c>
      <c r="H2" s="352"/>
      <c r="I2" s="353"/>
      <c r="J2" s="353"/>
      <c r="K2" s="353"/>
      <c r="L2" s="353"/>
      <c r="M2" s="353"/>
      <c r="O2" t="s" s="2">
        <v>167</v>
      </c>
      <c r="Q2" t="s" s="352">
        <v>170</v>
      </c>
      <c r="R2" s="352"/>
      <c r="S2" s="352"/>
      <c r="T2" s="352"/>
      <c r="U2" s="352"/>
      <c r="V2" s="352"/>
      <c r="W2" s="352"/>
      <c r="Y2" t="s" s="352">
        <v>175</v>
      </c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2"/>
      <c r="AL2" s="2"/>
    </row>
    <row r="3" spans="2:38" s="133" customFormat="1" ht="35.15" customHeight="1" x14ac:dyDescent="0.35">
      <c r="B3" t="s" s="133">
        <v>161</v>
      </c>
      <c r="C3" t="s" s="136">
        <v>59</v>
      </c>
      <c r="D3" t="s" s="136">
        <v>151</v>
      </c>
      <c r="E3" t="s" s="136">
        <v>150</v>
      </c>
      <c r="G3" t="s" s="136">
        <v>154</v>
      </c>
      <c r="H3" t="s" s="136">
        <v>158</v>
      </c>
      <c r="I3" t="s" s="136">
        <v>155</v>
      </c>
      <c r="J3" t="s" s="136">
        <v>156</v>
      </c>
      <c r="K3" t="s" s="136">
        <v>159</v>
      </c>
      <c r="L3" t="s" s="136">
        <v>157</v>
      </c>
      <c r="M3" t="s" s="136">
        <v>160</v>
      </c>
      <c r="O3" t="s" s="136">
        <v>168</v>
      </c>
      <c r="Q3" t="s" s="136">
        <v>165</v>
      </c>
      <c r="R3" t="s" s="136">
        <v>98</v>
      </c>
      <c r="S3" t="s" s="136">
        <v>166</v>
      </c>
      <c r="T3" t="s" s="136">
        <v>162</v>
      </c>
      <c r="U3" t="s" s="136">
        <v>163</v>
      </c>
      <c r="V3" t="s" s="136">
        <v>164</v>
      </c>
      <c r="W3" t="s" s="136">
        <v>169</v>
      </c>
      <c r="Y3" t="s" s="136">
        <v>171</v>
      </c>
      <c r="Z3" t="s" s="136">
        <v>176</v>
      </c>
      <c r="AA3" t="s" s="136">
        <v>177</v>
      </c>
      <c r="AB3" t="s" s="136">
        <v>178</v>
      </c>
      <c r="AC3" t="s" s="136">
        <v>174</v>
      </c>
      <c r="AD3" t="s" s="136">
        <v>172</v>
      </c>
      <c r="AE3" t="s" s="136">
        <v>179</v>
      </c>
      <c r="AF3" t="s" s="136">
        <v>173</v>
      </c>
      <c r="AG3" t="s" s="136">
        <v>28</v>
      </c>
      <c r="AH3" t="s" s="136">
        <v>180</v>
      </c>
      <c r="AI3" t="s" s="136">
        <v>157</v>
      </c>
      <c r="AJ3" t="s" s="136">
        <v>162</v>
      </c>
      <c r="AL3" t="s" s="144">
        <v>181</v>
      </c>
    </row>
    <row r="4" spans="2:38" x14ac:dyDescent="0.35">
      <c r="B4" t="s" s="58">
        <v>152</v>
      </c>
      <c r="C4" s="142">
        <f>'S-Detail'!F13</f>
      </c>
      <c r="E4" s="134">
        <f>C4+D4</f>
      </c>
      <c r="F4" s="134"/>
      <c r="G4" s="134">
        <f>E4*30%</f>
      </c>
      <c r="H4" s="134"/>
      <c r="I4" s="134">
        <f>H4*5%</f>
      </c>
      <c r="J4" s="134">
        <f>D4*15%</f>
      </c>
      <c r="L4" s="47">
        <f>K4*16%</f>
      </c>
      <c r="M4" s="135">
        <f>SUM(G4:L4)</f>
      </c>
      <c r="N4" s="134"/>
      <c r="Q4" s="135">
        <f>M4</f>
      </c>
      <c r="T4" s="47">
        <f>AJ4</f>
      </c>
      <c r="U4" s="135">
        <f t="shared" ref="U4:U9" si="0">Q4</f>
      </c>
      <c r="AJ4" s="134">
        <f>SUM(Y4:AI4)</f>
      </c>
      <c r="AL4" s="134">
        <f>W4-AJ4</f>
      </c>
    </row>
    <row r="5" spans="2:38" x14ac:dyDescent="0.35">
      <c r="B5" t="s" s="58">
        <v>182</v>
      </c>
      <c r="C5" s="142">
        <f>'S-Detail'!F22</f>
      </c>
      <c r="E5" s="134">
        <f>C5+D5</f>
      </c>
      <c r="F5" s="134"/>
      <c r="G5" s="134">
        <f>E5*30%</f>
      </c>
      <c r="H5" s="134"/>
      <c r="I5" s="134">
        <f>H5*5%</f>
      </c>
      <c r="J5" s="134">
        <f>D5*15%</f>
      </c>
      <c r="L5" s="47">
        <f>K5*16%</f>
      </c>
      <c r="M5" s="135">
        <f>SUM(G5:L5)</f>
      </c>
      <c r="N5" s="134"/>
      <c r="Q5" s="135">
        <f>M5</f>
      </c>
      <c r="T5" s="140">
        <f>AJ5</f>
      </c>
      <c r="U5" s="135">
        <f t="shared" si="0"/>
      </c>
      <c r="AJ5" s="134">
        <f>SUM(Y5:AI5)</f>
      </c>
      <c r="AL5" s="134">
        <f>W5-AJ5</f>
      </c>
    </row>
    <row r="6" spans="2:38" x14ac:dyDescent="0.35">
      <c r="B6" t="s" s="58">
        <v>183</v>
      </c>
      <c r="C6" s="142">
        <f>'S-Detail'!F31</f>
      </c>
      <c r="E6" s="134">
        <f>C6+D6</f>
      </c>
      <c r="F6" s="134"/>
      <c r="G6" s="134">
        <f>E6*30%</f>
      </c>
      <c r="H6" s="134"/>
      <c r="I6" s="134">
        <f>H6*5%</f>
      </c>
      <c r="J6" s="134">
        <f>D6*15%</f>
      </c>
      <c r="L6" s="47">
        <f>K6*16%</f>
      </c>
      <c r="M6" s="135">
        <f>SUM(G6:L6)</f>
      </c>
      <c r="N6" s="134"/>
      <c r="Q6" s="135">
        <f>M6</f>
      </c>
      <c r="T6" s="140">
        <f>AJ6</f>
      </c>
      <c r="U6" s="135">
        <f t="shared" si="0"/>
      </c>
      <c r="AJ6" s="134">
        <f>SUM(Y6:AI6)</f>
      </c>
      <c r="AL6" s="134">
        <f>W6-AJ6</f>
      </c>
    </row>
    <row r="7" spans="2:38" x14ac:dyDescent="0.35">
      <c r="B7" t="s" s="58">
        <v>184</v>
      </c>
      <c r="C7" s="142">
        <f>'S-Detail'!F40</f>
      </c>
      <c r="E7" s="134">
        <f>C7+D7</f>
      </c>
      <c r="F7" s="134"/>
      <c r="G7" s="134">
        <f>E7*30%</f>
      </c>
      <c r="H7" s="134"/>
      <c r="I7" s="134">
        <f>H7*5%</f>
      </c>
      <c r="J7" s="134">
        <f>D7*15%</f>
      </c>
      <c r="L7" s="47">
        <f>K7*16%</f>
      </c>
      <c r="M7" s="135">
        <f>SUM(G7:L7)</f>
      </c>
      <c r="N7" s="134"/>
      <c r="Q7" s="135">
        <f>M7</f>
      </c>
      <c r="T7" s="140">
        <f>AJ7</f>
      </c>
      <c r="U7" s="135">
        <f t="shared" si="0"/>
      </c>
      <c r="AJ7" s="134">
        <f>SUM(Y7:AI7)</f>
      </c>
      <c r="AL7" s="134">
        <f>W7-AJ7</f>
      </c>
    </row>
    <row r="8" spans="2:38" x14ac:dyDescent="0.35">
      <c r="B8" t="s" s="58">
        <v>185</v>
      </c>
      <c r="C8" s="142">
        <f>'S-Detail'!F45</f>
      </c>
      <c r="E8" s="134">
        <f>C8+D8</f>
      </c>
      <c r="F8" s="134"/>
      <c r="G8" s="134">
        <f>E8*30%</f>
      </c>
      <c r="H8" s="134"/>
      <c r="I8" s="134">
        <f>H8*5%</f>
      </c>
      <c r="J8" s="134">
        <f>D8*15%</f>
      </c>
      <c r="L8" s="47">
        <f>K8*16%</f>
      </c>
      <c r="M8" s="135">
        <f>SUM(G8:L8)</f>
      </c>
      <c r="N8" s="134"/>
      <c r="Q8" s="135">
        <f>M8</f>
      </c>
      <c r="T8" s="140">
        <f>AJ8</f>
      </c>
      <c r="U8" s="135">
        <f t="shared" si="0"/>
      </c>
      <c r="AJ8" s="134">
        <f>SUM(Y8:AI8)</f>
      </c>
      <c r="AL8" s="134">
        <f>W8-AJ8</f>
      </c>
    </row>
    <row r="9" spans="2:38" ht="15" thickBot="1" x14ac:dyDescent="0.4">
      <c r="B9" t="s" s="58">
        <v>53</v>
      </c>
      <c r="C9" s="143">
        <f>SUM(C4:C8)</f>
      </c>
      <c r="D9" s="137"/>
      <c r="E9" s="138">
        <f>SUM(E4:E7)</f>
      </c>
      <c r="F9" s="134"/>
      <c r="G9" s="138">
        <f>SUM(G4:G7)</f>
      </c>
      <c r="H9" s="138"/>
      <c r="I9" s="139">
        <f>SUM(I4:I7)</f>
      </c>
      <c r="J9" s="139">
        <f>SUM(J4:J7)</f>
      </c>
      <c r="K9" s="137"/>
      <c r="L9" s="141">
        <f>SUM(L4:L7)</f>
      </c>
      <c r="M9" s="139">
        <f>SUM(M4:M7)</f>
      </c>
      <c r="N9" s="134"/>
      <c r="O9" s="137"/>
      <c r="Q9" s="139">
        <f>SUM(Q4:Q7)</f>
      </c>
      <c r="R9" s="137"/>
      <c r="S9" s="137"/>
      <c r="T9" s="141">
        <f>SUM(T4:T7)</f>
      </c>
      <c r="U9" s="139">
        <f t="shared" si="0"/>
      </c>
      <c r="V9" s="137"/>
      <c r="W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9">
        <f>SUM(AJ4:AJ8)</f>
      </c>
      <c r="AL9" s="138">
        <f>SUM(AL4:AL8)</f>
      </c>
    </row>
    <row r="10" spans="2:38" x14ac:dyDescent="0.35">
      <c r="B10" s="58"/>
      <c r="E10" s="134"/>
      <c r="F10" s="134"/>
      <c r="G10" s="134"/>
      <c r="H10" s="134"/>
      <c r="M10" s="135"/>
      <c r="N10" s="134"/>
      <c r="Q10" s="135"/>
      <c r="U10" s="135"/>
      <c r="AL10" s="134"/>
    </row>
    <row r="11" spans="2:38" x14ac:dyDescent="0.35">
      <c r="B11" s="58"/>
      <c r="E11" s="134"/>
      <c r="F11" s="134"/>
      <c r="G11" s="134"/>
      <c r="H11" s="134"/>
      <c r="M11" s="135"/>
      <c r="N11" s="134"/>
      <c r="Q11" s="135"/>
      <c r="U11" s="135"/>
      <c r="AL11" s="134"/>
    </row>
    <row r="12" spans="2:38" x14ac:dyDescent="0.35">
      <c r="E12" s="134"/>
      <c r="F12" s="134"/>
      <c r="G12" s="134"/>
      <c r="H12" s="134"/>
      <c r="N12" s="134"/>
    </row>
    <row r="13" spans="2:38" x14ac:dyDescent="0.35">
      <c r="E13" s="134"/>
      <c r="F13" s="134"/>
      <c r="G13" s="134"/>
      <c r="H13" s="134"/>
      <c r="N13" s="134"/>
    </row>
    <row r="14" spans="2:38" x14ac:dyDescent="0.35">
      <c r="E14" s="134"/>
      <c r="F14" s="134"/>
      <c r="G14" s="134"/>
      <c r="H14" s="134"/>
      <c r="N14" s="134"/>
    </row>
    <row r="15" spans="2:38" x14ac:dyDescent="0.35">
      <c r="E15" s="134"/>
      <c r="F15" s="134"/>
      <c r="G15" s="134"/>
      <c r="H15" s="134"/>
      <c r="N15" s="134"/>
      <c r="O15" s="350"/>
      <c r="P15" s="350"/>
      <c r="Q15" s="350"/>
      <c r="R15" s="350"/>
    </row>
    <row r="16" spans="2:38" x14ac:dyDescent="0.35">
      <c r="E16" s="134"/>
      <c r="F16" s="134"/>
      <c r="G16" s="134"/>
      <c r="H16" s="134"/>
      <c r="N16" s="134"/>
      <c r="O16" s="350"/>
      <c r="P16" s="350"/>
      <c r="Q16" s="350"/>
      <c r="R16" s="350"/>
    </row>
    <row r="17" spans="5:25" x14ac:dyDescent="0.35">
      <c r="E17" s="134"/>
      <c r="F17" s="134"/>
      <c r="G17" s="134"/>
      <c r="H17" s="134"/>
      <c r="N17" s="134"/>
      <c r="O17" s="350"/>
      <c r="P17" s="350"/>
      <c r="Q17" s="350"/>
      <c r="R17" s="350"/>
    </row>
    <row r="18" spans="5:25" x14ac:dyDescent="0.35">
      <c r="E18" s="134"/>
      <c r="F18" s="134"/>
      <c r="G18" s="134"/>
      <c r="H18" s="134"/>
      <c r="N18" s="134"/>
      <c r="O18" s="350"/>
      <c r="P18" s="350"/>
      <c r="Q18" s="350"/>
      <c r="R18" s="350"/>
    </row>
    <row r="19" spans="5:25" x14ac:dyDescent="0.35">
      <c r="O19" s="350"/>
      <c r="P19" s="350"/>
      <c r="Q19" s="350"/>
      <c r="R19" s="350"/>
    </row>
    <row r="20" spans="5:25" x14ac:dyDescent="0.35">
      <c r="O20" s="351"/>
      <c r="P20" s="351"/>
      <c r="Q20" s="351"/>
      <c r="R20" s="351"/>
    </row>
    <row r="21" spans="5:25" x14ac:dyDescent="0.35">
      <c r="Y21" s="3"/>
    </row>
    <row r="22" spans="5:25" x14ac:dyDescent="0.35">
      <c r="Y22" s="3"/>
    </row>
    <row r="23" spans="5:25" x14ac:dyDescent="0.35">
      <c r="Y23" s="3"/>
    </row>
    <row r="24" spans="5:25" x14ac:dyDescent="0.35">
      <c r="Y24" s="3"/>
    </row>
    <row r="25" spans="5:25" x14ac:dyDescent="0.35">
      <c r="Y25" s="3"/>
    </row>
    <row r="26" spans="5:25" x14ac:dyDescent="0.35">
      <c r="Y26" s="3"/>
    </row>
    <row r="27" spans="5:25" x14ac:dyDescent="0.35">
      <c r="Y27" s="3"/>
    </row>
    <row r="28" spans="5:25" x14ac:dyDescent="0.35">
      <c r="Y28" s="3"/>
    </row>
    <row r="29" spans="5:25" x14ac:dyDescent="0.35">
      <c r="Y29" s="3"/>
    </row>
  </sheetData>
  <mergeCells count="10">
    <mergeCell ref="O19:R19"/>
    <mergeCell ref="O20:R20"/>
    <mergeCell ref="Q2:W2"/>
    <mergeCell ref="Y2:AI2"/>
    <mergeCell ref="C2:E2"/>
    <mergeCell ref="G2:M2"/>
    <mergeCell ref="O15:R15"/>
    <mergeCell ref="O16:R16"/>
    <mergeCell ref="O17:R17"/>
    <mergeCell ref="O18:R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E02E-1975-4D31-A673-3A4766D1B9A7}">
  <sheetPr codeName="Sheet3"/>
  <sheetViews>
    <sheetView workbookViewId="0">
      <pane xSplit="2" topLeftCell="T1" activePane="topRight" state="frozen"/>
      <selection activeCell="L20" sqref="L20"/>
      <selection pane="topRight" activeCell="L20" sqref="L20"/>
    </sheetView>
  </sheetViews>
  <sheetFormatPr defaultColWidth="9.1796875" defaultRowHeight="14.5" x14ac:dyDescent="0.35"/>
  <cols>
    <col min="1" max="1" width="1.81640625" customWidth="1"/>
    <col min="2" max="2" width="12.81640625" customWidth="1"/>
    <col min="3" max="33" width="9.453125" customWidth="1"/>
    <col min="34" max="34" width="15.453125" customWidth="1"/>
  </cols>
  <sheetData>
    <row r="1" spans="2:34" ht="15" thickBot="1" x14ac:dyDescent="0.4"/>
    <row r="2" spans="2:34" ht="15" thickBot="1" x14ac:dyDescent="0.4">
      <c r="B2" s="146"/>
      <c r="C2" t="s" s="360">
        <v>186</v>
      </c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1"/>
    </row>
    <row r="3" spans="2:34" x14ac:dyDescent="0.35">
      <c r="B3" s="167"/>
      <c r="C3" s="158">
        <v>1</v>
      </c>
      <c r="D3" s="158">
        <v>2</v>
      </c>
      <c r="E3" s="158">
        <v>3</v>
      </c>
      <c r="F3" s="158">
        <v>4</v>
      </c>
      <c r="G3" s="158">
        <f>F3+1</f>
      </c>
      <c r="H3" s="158">
        <f t="shared" ref="H3:AG3" si="0">G3+1</f>
      </c>
      <c r="I3" s="158">
        <f t="shared" si="0"/>
      </c>
      <c r="J3" s="158">
        <f t="shared" si="0"/>
      </c>
      <c r="K3" s="158">
        <f t="shared" si="0"/>
      </c>
      <c r="L3" s="158">
        <f t="shared" si="0"/>
      </c>
      <c r="M3" s="158">
        <f t="shared" si="0"/>
      </c>
      <c r="N3" s="158">
        <f t="shared" si="0"/>
      </c>
      <c r="O3" s="158">
        <f t="shared" si="0"/>
      </c>
      <c r="P3" s="158">
        <f t="shared" si="0"/>
      </c>
      <c r="Q3" s="158">
        <f t="shared" si="0"/>
      </c>
      <c r="R3" s="158">
        <f t="shared" si="0"/>
      </c>
      <c r="S3" s="158">
        <f t="shared" si="0"/>
      </c>
      <c r="T3" s="158">
        <f t="shared" si="0"/>
      </c>
      <c r="U3" s="158">
        <f t="shared" si="0"/>
      </c>
      <c r="V3" s="158">
        <f t="shared" si="0"/>
      </c>
      <c r="W3" s="158">
        <f t="shared" si="0"/>
      </c>
      <c r="X3" s="158">
        <f t="shared" si="0"/>
      </c>
      <c r="Y3" s="158">
        <f t="shared" si="0"/>
      </c>
      <c r="Z3" s="158">
        <f t="shared" si="0"/>
      </c>
      <c r="AA3" s="158">
        <f t="shared" si="0"/>
      </c>
      <c r="AB3" s="158">
        <f t="shared" si="0"/>
      </c>
      <c r="AC3" s="158">
        <f t="shared" si="0"/>
      </c>
      <c r="AD3" s="158">
        <f t="shared" si="0"/>
      </c>
      <c r="AE3" s="158">
        <f t="shared" si="0"/>
      </c>
      <c r="AF3" s="158">
        <f t="shared" si="0"/>
      </c>
      <c r="AG3" s="159">
        <f t="shared" si="0"/>
      </c>
    </row>
    <row r="4" spans="2:34" x14ac:dyDescent="0.35">
      <c r="B4" t="s" s="149">
        <v>130</v>
      </c>
      <c r="C4" s="150">
        <f t="shared" ref="C4:AG4" si="1">C26+C38+C50+C61</f>
      </c>
      <c r="D4" s="150">
        <f t="shared" si="1"/>
      </c>
      <c r="E4" s="150">
        <f t="shared" si="1"/>
      </c>
      <c r="F4" s="150">
        <f t="shared" si="1"/>
      </c>
      <c r="G4" s="150">
        <f t="shared" si="1"/>
      </c>
      <c r="H4" s="150">
        <f t="shared" si="1"/>
      </c>
      <c r="I4" s="150">
        <f t="shared" si="1"/>
      </c>
      <c r="J4" s="150">
        <f t="shared" si="1"/>
      </c>
      <c r="K4" s="150">
        <f t="shared" si="1"/>
      </c>
      <c r="L4" s="150">
        <f t="shared" si="1"/>
      </c>
      <c r="M4" s="150">
        <f t="shared" si="1"/>
      </c>
      <c r="N4" s="150">
        <f t="shared" si="1"/>
      </c>
      <c r="O4" s="150">
        <f t="shared" si="1"/>
      </c>
      <c r="P4" s="150">
        <f t="shared" si="1"/>
      </c>
      <c r="Q4" s="150">
        <f t="shared" si="1"/>
      </c>
      <c r="R4" s="150">
        <f t="shared" si="1"/>
      </c>
      <c r="S4" s="150">
        <f t="shared" si="1"/>
      </c>
      <c r="T4" s="150">
        <f t="shared" si="1"/>
      </c>
      <c r="U4" s="150">
        <f t="shared" si="1"/>
      </c>
      <c r="V4" s="150">
        <f t="shared" si="1"/>
      </c>
      <c r="W4" s="150">
        <f t="shared" si="1"/>
      </c>
      <c r="X4" s="150">
        <f t="shared" si="1"/>
      </c>
      <c r="Y4" s="150">
        <f t="shared" si="1"/>
      </c>
      <c r="Z4" s="150">
        <f t="shared" si="1"/>
      </c>
      <c r="AA4" s="150">
        <v>0</v>
      </c>
      <c r="AB4" s="150">
        <f t="shared" si="1"/>
      </c>
      <c r="AC4" s="150">
        <f t="shared" si="1"/>
      </c>
      <c r="AD4" s="150">
        <f t="shared" si="1"/>
      </c>
      <c r="AE4" s="150">
        <f t="shared" si="1"/>
      </c>
      <c r="AF4" s="150">
        <f t="shared" si="1"/>
      </c>
      <c r="AG4" s="150">
        <f t="shared" si="1"/>
      </c>
      <c r="AH4" s="181">
        <f>Y4+Z4+AA4+AB4+AC4+AD4+AE4</f>
      </c>
    </row>
    <row r="5" spans="2:34" ht="5.5" customHeight="1" x14ac:dyDescent="0.35">
      <c r="B5" s="168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</row>
    <row r="6" spans="2:34" x14ac:dyDescent="0.35">
      <c r="B6" t="s" s="149">
        <v>55</v>
      </c>
      <c r="C6" s="150">
        <f>'1'!F8</f>
      </c>
      <c r="D6" s="150">
        <f>#REF!</f>
      </c>
      <c r="E6" s="150">
        <f>#REF!</f>
      </c>
      <c r="F6" s="150">
        <f>#REF!</f>
      </c>
      <c r="G6" s="150">
        <f>#REF!</f>
      </c>
      <c r="H6" s="150">
        <f>#REF!</f>
      </c>
      <c r="I6" s="150">
        <f>#REF!</f>
      </c>
      <c r="J6" s="150">
        <f>#REF!</f>
      </c>
      <c r="K6" s="150">
        <f>#REF!</f>
      </c>
      <c r="L6" s="150">
        <f>#REF!</f>
      </c>
      <c r="M6" s="150">
        <f>#REF!</f>
      </c>
      <c r="N6" s="150">
        <f>#REF!</f>
      </c>
      <c r="O6" s="150">
        <f>#REF!</f>
      </c>
      <c r="P6" s="150">
        <f>#REF!</f>
      </c>
      <c r="Q6" s="150">
        <f>#REF!</f>
      </c>
      <c r="R6" s="150">
        <f>#REF!</f>
      </c>
      <c r="S6" s="150">
        <f>#REF!</f>
      </c>
      <c r="T6" s="150">
        <f>#REF!</f>
      </c>
      <c r="U6" s="150">
        <f>#REF!</f>
      </c>
      <c r="V6" s="150">
        <f>#REF!</f>
      </c>
      <c r="W6" s="150">
        <f>#REF!</f>
      </c>
      <c r="X6" s="150">
        <f>#REF!</f>
      </c>
      <c r="Y6" s="150">
        <f>#REF!</f>
      </c>
      <c r="Z6" s="150">
        <f>#REF!</f>
      </c>
      <c r="AA6" s="150">
        <v>0</v>
      </c>
      <c r="AB6" s="150">
        <f>#REF!</f>
      </c>
      <c r="AC6" s="150">
        <f>#REF!</f>
      </c>
      <c r="AD6" s="150">
        <f>#REF!</f>
      </c>
      <c r="AE6" s="150">
        <f>#REF!</f>
      </c>
      <c r="AF6" s="150">
        <f>#REF!</f>
      </c>
      <c r="AG6" s="150">
        <f>#REF!</f>
      </c>
      <c r="AH6" s="181">
        <f>Y6+Z6+AA6+AB6+AC6+AD6+AE6</f>
      </c>
    </row>
    <row r="7" spans="2:34" ht="5.15" customHeight="1" x14ac:dyDescent="0.35">
      <c r="B7" s="168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</row>
    <row r="8" spans="2:34" x14ac:dyDescent="0.35">
      <c r="B8" t="s" s="178">
        <v>131</v>
      </c>
      <c r="C8" s="179">
        <f>'1'!F32</f>
      </c>
      <c r="D8" s="179">
        <f>#REF!</f>
      </c>
      <c r="E8" s="179">
        <f>#REF!</f>
      </c>
      <c r="F8" s="179">
        <f>#REF!</f>
      </c>
      <c r="G8" s="179">
        <f>#REF!</f>
      </c>
      <c r="H8" s="179">
        <f>#REF!</f>
      </c>
      <c r="I8" s="179">
        <f>#REF!</f>
      </c>
      <c r="J8" s="179">
        <f>#REF!</f>
      </c>
      <c r="K8" s="179">
        <f>#REF!</f>
      </c>
      <c r="L8" s="179">
        <f>#REF!</f>
      </c>
      <c r="M8" s="179">
        <f>#REF!</f>
      </c>
      <c r="N8" s="179">
        <f>#REF!</f>
      </c>
      <c r="O8" s="179">
        <f>#REF!</f>
      </c>
      <c r="P8" s="179">
        <f>#REF!</f>
      </c>
      <c r="Q8" s="179">
        <f>#REF!</f>
      </c>
      <c r="R8" s="179">
        <f>#REF!</f>
      </c>
      <c r="S8" s="179">
        <f>#REF!</f>
      </c>
      <c r="T8" s="179">
        <f>#REF!</f>
      </c>
      <c r="U8" s="179">
        <f>#REF!</f>
      </c>
      <c r="V8" s="179">
        <f>#REF!</f>
      </c>
      <c r="W8" s="179">
        <f>#REF!</f>
      </c>
      <c r="X8" s="179">
        <f>#REF!</f>
      </c>
      <c r="Y8" s="179">
        <f>#REF!</f>
      </c>
      <c r="Z8" s="179">
        <f>#REF!</f>
      </c>
      <c r="AA8" s="179">
        <f>#REF!</f>
      </c>
      <c r="AB8" s="179">
        <f>#REF!</f>
      </c>
      <c r="AC8" s="179">
        <f>#REF!</f>
      </c>
      <c r="AD8" s="179">
        <f>#REF!</f>
      </c>
      <c r="AE8" s="179">
        <f>#REF!</f>
      </c>
      <c r="AF8" s="179">
        <f>#REF!</f>
      </c>
      <c r="AG8" s="179">
        <f>#REF!</f>
      </c>
      <c r="AH8" s="181">
        <f>Y8+Z8+AA8+AB8+AC8+AD8+AE8</f>
      </c>
    </row>
    <row r="9" spans="2:34" ht="4" customHeight="1" x14ac:dyDescent="0.35">
      <c r="B9" s="178"/>
      <c r="C9" s="179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</row>
    <row r="10" spans="2:34" x14ac:dyDescent="0.35">
      <c r="B10" t="s" s="178">
        <v>214</v>
      </c>
      <c r="C10" s="179">
        <f>'1'!F34</f>
      </c>
      <c r="D10" s="179">
        <f>#REF!</f>
      </c>
      <c r="E10" s="179">
        <f>#REF!</f>
      </c>
      <c r="F10" s="179">
        <f>#REF!</f>
      </c>
      <c r="G10" s="179">
        <f>#REF!</f>
      </c>
      <c r="H10" s="179">
        <f>#REF!</f>
      </c>
      <c r="I10" s="179">
        <f>#REF!</f>
      </c>
      <c r="J10" s="179">
        <f>#REF!</f>
      </c>
      <c r="K10" s="179">
        <f>#REF!</f>
      </c>
      <c r="L10" s="179">
        <f>#REF!</f>
      </c>
      <c r="M10" s="179">
        <f>#REF!</f>
      </c>
      <c r="N10" s="179">
        <f>#REF!</f>
      </c>
      <c r="O10" s="179">
        <f>#REF!</f>
      </c>
      <c r="P10" s="179">
        <f>#REF!</f>
      </c>
      <c r="Q10" s="179">
        <f>#REF!</f>
      </c>
      <c r="R10" s="179">
        <f>#REF!</f>
      </c>
      <c r="S10" s="179">
        <f>#REF!</f>
      </c>
      <c r="T10" s="179">
        <f>#REF!</f>
      </c>
      <c r="U10" s="179">
        <f>#REF!</f>
      </c>
      <c r="V10" s="179">
        <f>#REF!</f>
      </c>
      <c r="W10" s="179">
        <f>#REF!</f>
      </c>
      <c r="X10" s="179">
        <f>#REF!</f>
      </c>
      <c r="Y10" s="179">
        <f>#REF!</f>
      </c>
      <c r="Z10" s="179">
        <f>#REF!</f>
      </c>
      <c r="AA10" s="179">
        <f>#REF!</f>
      </c>
      <c r="AB10" s="179">
        <f>#REF!</f>
      </c>
      <c r="AC10" s="179">
        <f>#REF!</f>
      </c>
      <c r="AD10" s="179">
        <f>#REF!</f>
      </c>
      <c r="AE10" s="179">
        <f>#REF!</f>
      </c>
      <c r="AF10" s="179">
        <f>#REF!</f>
      </c>
      <c r="AG10" s="179">
        <f>#REF!</f>
      </c>
      <c r="AH10" s="181">
        <f>Y10+Z10+AA10+AB10+AC10+X10+W10</f>
      </c>
    </row>
    <row r="11" spans="2:34" ht="3.75" customHeight="1" x14ac:dyDescent="0.35">
      <c r="B11" s="178"/>
      <c r="C11" s="179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</row>
    <row r="12" spans="2:34" x14ac:dyDescent="0.35">
      <c r="B12" t="s" s="178">
        <v>215</v>
      </c>
      <c r="C12" s="179">
        <f>C10-C8</f>
      </c>
      <c r="D12" s="179">
        <f t="shared" ref="D12:AG12" si="2">D10-D8</f>
      </c>
      <c r="E12" s="179">
        <f t="shared" si="2"/>
      </c>
      <c r="F12" s="179">
        <f t="shared" si="2"/>
      </c>
      <c r="G12" s="179">
        <f t="shared" si="2"/>
      </c>
      <c r="H12" s="179">
        <f t="shared" si="2"/>
      </c>
      <c r="I12" s="179">
        <f t="shared" si="2"/>
      </c>
      <c r="J12" s="179">
        <f t="shared" si="2"/>
      </c>
      <c r="K12" s="179">
        <f t="shared" si="2"/>
      </c>
      <c r="L12" s="179">
        <f t="shared" si="2"/>
      </c>
      <c r="M12" s="179">
        <f t="shared" si="2"/>
      </c>
      <c r="N12" s="179">
        <f t="shared" si="2"/>
      </c>
      <c r="O12" s="179">
        <f t="shared" si="2"/>
      </c>
      <c r="P12" s="179">
        <f t="shared" si="2"/>
      </c>
      <c r="Q12" s="179">
        <f t="shared" si="2"/>
      </c>
      <c r="R12" s="179">
        <f t="shared" si="2"/>
      </c>
      <c r="S12" s="179">
        <f t="shared" si="2"/>
      </c>
      <c r="T12" s="179">
        <f t="shared" si="2"/>
      </c>
      <c r="U12" s="179">
        <f t="shared" si="2"/>
      </c>
      <c r="V12" s="179">
        <f t="shared" si="2"/>
      </c>
      <c r="W12" s="179">
        <f t="shared" si="2"/>
      </c>
      <c r="X12" s="179">
        <f t="shared" si="2"/>
      </c>
      <c r="Y12" s="179">
        <f t="shared" si="2"/>
      </c>
      <c r="Z12" s="179">
        <f t="shared" si="2"/>
      </c>
      <c r="AA12" s="179">
        <f t="shared" si="2"/>
      </c>
      <c r="AB12" s="179">
        <f t="shared" si="2"/>
      </c>
      <c r="AC12" s="179">
        <f t="shared" si="2"/>
      </c>
      <c r="AD12" s="179">
        <f t="shared" si="2"/>
      </c>
      <c r="AE12" s="179">
        <f t="shared" si="2"/>
      </c>
      <c r="AF12" s="179">
        <f t="shared" si="2"/>
      </c>
      <c r="AG12" s="179">
        <f t="shared" si="2"/>
      </c>
      <c r="AH12" s="181">
        <f>Y12+Z12+AA12+AB12+AC12+AD12+AE12</f>
      </c>
    </row>
    <row r="13" spans="2:34" ht="15.65" customHeight="1" thickBot="1" x14ac:dyDescent="0.4">
      <c r="B13" s="58"/>
      <c r="C13" s="13"/>
    </row>
    <row r="14" spans="2:34" ht="14.5" customHeight="1" x14ac:dyDescent="0.35">
      <c r="B14" t="s" s="160">
        <v>187</v>
      </c>
      <c r="C14" s="161">
        <f>'1'!H21</f>
      </c>
      <c r="D14" s="161">
        <f>C14+C15</f>
      </c>
      <c r="E14" s="161">
        <f>D14+D15</f>
      </c>
      <c r="F14" s="161">
        <f>E14+E15</f>
      </c>
      <c r="G14" s="161">
        <f>F14+F15</f>
      </c>
      <c r="H14" s="161">
        <f t="shared" ref="H14:AG14" si="3">G14+G15</f>
      </c>
      <c r="I14" s="161">
        <f t="shared" si="3"/>
      </c>
      <c r="J14" s="161">
        <f t="shared" si="3"/>
      </c>
      <c r="K14" s="161">
        <f t="shared" si="3"/>
      </c>
      <c r="L14" s="161">
        <f t="shared" si="3"/>
      </c>
      <c r="M14" s="161">
        <f t="shared" si="3"/>
      </c>
      <c r="N14" s="161">
        <f t="shared" si="3"/>
      </c>
      <c r="O14" s="161">
        <f t="shared" si="3"/>
      </c>
      <c r="P14" s="161">
        <f t="shared" si="3"/>
      </c>
      <c r="Q14" s="161">
        <f t="shared" si="3"/>
      </c>
      <c r="R14" s="161">
        <f t="shared" si="3"/>
      </c>
      <c r="S14" s="161">
        <f t="shared" si="3"/>
      </c>
      <c r="T14" s="161">
        <f t="shared" si="3"/>
      </c>
      <c r="U14" s="161">
        <f t="shared" si="3"/>
      </c>
      <c r="V14" s="161">
        <f t="shared" si="3"/>
      </c>
      <c r="W14" s="161">
        <f t="shared" si="3"/>
      </c>
      <c r="X14" s="161">
        <f t="shared" si="3"/>
      </c>
      <c r="Y14" s="161">
        <f t="shared" si="3"/>
      </c>
      <c r="Z14" s="161">
        <f t="shared" si="3"/>
      </c>
      <c r="AA14" s="161">
        <f t="shared" si="3"/>
      </c>
      <c r="AB14" s="161">
        <f t="shared" si="3"/>
      </c>
      <c r="AC14" s="161">
        <f t="shared" si="3"/>
      </c>
      <c r="AD14" s="161">
        <f t="shared" si="3"/>
      </c>
      <c r="AE14" s="161">
        <f t="shared" si="3"/>
      </c>
      <c r="AF14" s="161">
        <f t="shared" si="3"/>
      </c>
      <c r="AG14" s="162">
        <f t="shared" si="3"/>
      </c>
    </row>
    <row r="15" spans="2:34" s="145" customFormat="1" ht="24" customHeight="1" x14ac:dyDescent="0.35">
      <c r="B15" t="s" s="163">
        <v>190</v>
      </c>
      <c r="C15" s="174">
        <v>2</v>
      </c>
      <c r="D15" s="175">
        <v>3</v>
      </c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</row>
    <row r="16" spans="2:34" ht="12" customHeight="1" x14ac:dyDescent="0.35">
      <c r="B16" t="s" s="164">
        <v>188</v>
      </c>
      <c r="C16" s="165">
        <f>'1'!P21</f>
      </c>
      <c r="D16" s="165">
        <f>C16+C17</f>
      </c>
      <c r="E16" s="165">
        <f t="shared" ref="E16:AG16" si="4">D16+D17</f>
      </c>
      <c r="F16" s="165">
        <f t="shared" si="4"/>
      </c>
      <c r="G16" s="165">
        <f t="shared" si="4"/>
      </c>
      <c r="H16" s="165">
        <f t="shared" si="4"/>
      </c>
      <c r="I16" s="165">
        <f t="shared" si="4"/>
      </c>
      <c r="J16" s="165">
        <f t="shared" si="4"/>
      </c>
      <c r="K16" s="165">
        <f t="shared" si="4"/>
      </c>
      <c r="L16" s="165">
        <f t="shared" si="4"/>
      </c>
      <c r="M16" s="165">
        <f t="shared" si="4"/>
      </c>
      <c r="N16" s="165">
        <f t="shared" si="4"/>
      </c>
      <c r="O16" s="165">
        <f t="shared" si="4"/>
      </c>
      <c r="P16" s="165">
        <f t="shared" si="4"/>
      </c>
      <c r="Q16" s="165">
        <f t="shared" si="4"/>
      </c>
      <c r="R16" s="165">
        <f t="shared" si="4"/>
      </c>
      <c r="S16" s="165">
        <f t="shared" si="4"/>
      </c>
      <c r="T16" s="165">
        <f t="shared" si="4"/>
      </c>
      <c r="U16" s="165">
        <f t="shared" si="4"/>
      </c>
      <c r="V16" s="165">
        <f t="shared" si="4"/>
      </c>
      <c r="W16" s="165">
        <f t="shared" si="4"/>
      </c>
      <c r="X16" s="165">
        <f t="shared" si="4"/>
      </c>
      <c r="Y16" s="165">
        <f t="shared" si="4"/>
      </c>
      <c r="Z16" s="165">
        <f t="shared" si="4"/>
      </c>
      <c r="AA16" s="165">
        <f t="shared" si="4"/>
      </c>
      <c r="AB16" s="165">
        <f t="shared" si="4"/>
      </c>
      <c r="AC16" s="165">
        <f t="shared" si="4"/>
      </c>
      <c r="AD16" s="165">
        <f t="shared" si="4"/>
      </c>
      <c r="AE16" s="165">
        <f t="shared" si="4"/>
      </c>
      <c r="AF16" s="165">
        <f t="shared" si="4"/>
      </c>
      <c r="AG16" s="166">
        <f t="shared" si="4"/>
      </c>
    </row>
    <row r="17" spans="2:33" ht="21" customHeight="1" x14ac:dyDescent="0.35">
      <c r="B17" t="s" s="163">
        <v>191</v>
      </c>
      <c r="C17" s="176">
        <v>0</v>
      </c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2:33" ht="13.5" customHeight="1" x14ac:dyDescent="0.35">
      <c r="B18" t="s" s="164">
        <v>189</v>
      </c>
      <c r="C18" s="165">
        <f>'1'!Z21</f>
      </c>
      <c r="D18" s="165">
        <f>C18+C19</f>
      </c>
      <c r="E18" s="165">
        <f t="shared" ref="E18:AG18" si="5">D18+D19</f>
      </c>
      <c r="F18" s="165">
        <f t="shared" si="5"/>
      </c>
      <c r="G18" s="165">
        <f t="shared" si="5"/>
      </c>
      <c r="H18" s="165">
        <f t="shared" si="5"/>
      </c>
      <c r="I18" s="165">
        <f t="shared" si="5"/>
      </c>
      <c r="J18" s="165">
        <f t="shared" si="5"/>
      </c>
      <c r="K18" s="165">
        <f t="shared" si="5"/>
      </c>
      <c r="L18" s="165">
        <f t="shared" si="5"/>
      </c>
      <c r="M18" s="165">
        <f t="shared" si="5"/>
      </c>
      <c r="N18" s="165">
        <f t="shared" si="5"/>
      </c>
      <c r="O18" s="165">
        <f t="shared" si="5"/>
      </c>
      <c r="P18" s="165">
        <f t="shared" si="5"/>
      </c>
      <c r="Q18" s="165">
        <f t="shared" si="5"/>
      </c>
      <c r="R18" s="165">
        <f t="shared" si="5"/>
      </c>
      <c r="S18" s="165">
        <f t="shared" si="5"/>
      </c>
      <c r="T18" s="165">
        <f t="shared" si="5"/>
      </c>
      <c r="U18" s="165">
        <f t="shared" si="5"/>
      </c>
      <c r="V18" s="165">
        <f t="shared" si="5"/>
      </c>
      <c r="W18" s="165">
        <f t="shared" si="5"/>
      </c>
      <c r="X18" s="165">
        <f t="shared" si="5"/>
      </c>
      <c r="Y18" s="165">
        <f t="shared" si="5"/>
      </c>
      <c r="Z18" s="165">
        <f t="shared" si="5"/>
      </c>
      <c r="AA18" s="165">
        <f t="shared" si="5"/>
      </c>
      <c r="AB18" s="165">
        <f t="shared" si="5"/>
      </c>
      <c r="AC18" s="165">
        <f t="shared" si="5"/>
      </c>
      <c r="AD18" s="165">
        <f t="shared" si="5"/>
      </c>
      <c r="AE18" s="165">
        <f t="shared" si="5"/>
      </c>
      <c r="AF18" s="165">
        <f t="shared" si="5"/>
      </c>
      <c r="AG18" s="166">
        <f t="shared" si="5"/>
      </c>
    </row>
    <row r="19" spans="2:33" ht="22" customHeight="1" x14ac:dyDescent="0.35">
      <c r="B19" t="s" s="163">
        <v>192</v>
      </c>
      <c r="C19" s="176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2:33" ht="13.5" customHeight="1" thickBot="1" x14ac:dyDescent="0.4">
      <c r="B20" s="58"/>
      <c r="C20" s="13"/>
    </row>
    <row r="21" spans="2:33" x14ac:dyDescent="0.35">
      <c r="B21" t="s" s="354">
        <v>133</v>
      </c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355"/>
      <c r="AB21" s="355"/>
      <c r="AC21" s="355"/>
      <c r="AD21" s="355"/>
      <c r="AE21" s="355"/>
      <c r="AF21" s="355"/>
      <c r="AG21" s="356"/>
    </row>
    <row r="22" spans="2:33" ht="14.5" customHeight="1" x14ac:dyDescent="0.35">
      <c r="B22" t="s" s="149">
        <v>127</v>
      </c>
      <c r="C22" s="150">
        <f>'1'!E25</f>
      </c>
      <c r="D22" s="150">
        <f>#REF!</f>
      </c>
      <c r="E22" s="150">
        <f>#REF!</f>
      </c>
      <c r="F22" s="150">
        <f>#REF!</f>
      </c>
      <c r="G22" s="150">
        <f>#REF!</f>
      </c>
      <c r="H22" s="150">
        <f>#REF!</f>
      </c>
      <c r="I22" s="150">
        <f>#REF!</f>
      </c>
      <c r="J22" s="150">
        <f>#REF!</f>
      </c>
      <c r="K22" s="150">
        <f>#REF!</f>
      </c>
      <c r="L22" s="150">
        <f>#REF!</f>
      </c>
      <c r="M22" s="150">
        <f>#REF!</f>
      </c>
      <c r="N22" s="150">
        <f>#REF!</f>
      </c>
      <c r="O22" s="150">
        <f>#REF!</f>
      </c>
      <c r="P22" s="150">
        <f>#REF!</f>
      </c>
      <c r="Q22" s="150">
        <f>#REF!</f>
      </c>
      <c r="R22" s="150">
        <f>#REF!</f>
      </c>
      <c r="S22" s="150">
        <f>#REF!</f>
      </c>
      <c r="T22" s="150">
        <f>#REF!</f>
      </c>
      <c r="U22" s="150">
        <f>#REF!</f>
      </c>
      <c r="V22" s="150">
        <f>#REF!</f>
      </c>
      <c r="W22" s="150">
        <f>#REF!</f>
      </c>
      <c r="X22" s="150">
        <f>#REF!</f>
      </c>
      <c r="Y22" s="150">
        <f>#REF!</f>
      </c>
      <c r="Z22" s="150">
        <f>#REF!</f>
      </c>
      <c r="AA22" s="150">
        <f>#REF!</f>
      </c>
      <c r="AB22" s="150">
        <f>#REF!</f>
      </c>
      <c r="AC22" s="150">
        <f>#REF!</f>
      </c>
      <c r="AD22" s="150">
        <f>#REF!</f>
      </c>
      <c r="AE22" s="150">
        <f>#REF!</f>
      </c>
      <c r="AF22" s="150">
        <f>#REF!</f>
      </c>
      <c r="AG22" s="150">
        <f>#REF!</f>
      </c>
    </row>
    <row r="23" spans="2:33" x14ac:dyDescent="0.35">
      <c r="B23" t="s" s="151">
        <v>134</v>
      </c>
      <c r="C23" s="152">
        <f>'1'!E26</f>
      </c>
      <c r="D23" s="152">
        <f>#REF!</f>
      </c>
      <c r="E23" s="152">
        <f>#REF!</f>
      </c>
      <c r="F23" s="152">
        <f>#REF!</f>
      </c>
      <c r="G23" s="152">
        <f>#REF!</f>
      </c>
      <c r="H23" s="152">
        <f>#REF!</f>
      </c>
      <c r="I23" s="152">
        <f>#REF!</f>
      </c>
      <c r="J23" s="152">
        <f>#REF!</f>
      </c>
      <c r="K23" s="152">
        <f>#REF!</f>
      </c>
      <c r="L23" s="152">
        <f>#REF!</f>
      </c>
      <c r="M23" s="152">
        <f>#REF!</f>
      </c>
      <c r="N23" s="152">
        <f>#REF!</f>
      </c>
      <c r="O23" s="152">
        <f>#REF!</f>
      </c>
      <c r="P23" s="152">
        <f>#REF!</f>
      </c>
      <c r="Q23" s="152">
        <f>#REF!</f>
      </c>
      <c r="R23" s="152">
        <f>#REF!</f>
      </c>
      <c r="S23" s="152">
        <f>#REF!</f>
      </c>
      <c r="T23" s="152">
        <f>#REF!</f>
      </c>
      <c r="U23" s="152">
        <f>#REF!</f>
      </c>
      <c r="V23" s="152">
        <f>#REF!</f>
      </c>
      <c r="W23" s="152">
        <f>#REF!</f>
      </c>
      <c r="X23" s="152">
        <f>#REF!</f>
      </c>
      <c r="Y23" s="152">
        <f>#REF!</f>
      </c>
      <c r="Z23" s="152">
        <f>#REF!</f>
      </c>
      <c r="AA23" s="152">
        <f>#REF!</f>
      </c>
      <c r="AB23" s="152">
        <f>#REF!</f>
      </c>
      <c r="AC23" s="152">
        <f>#REF!</f>
      </c>
      <c r="AD23" s="152">
        <f>#REF!</f>
      </c>
      <c r="AE23" s="152">
        <f>#REF!</f>
      </c>
      <c r="AF23" s="152">
        <f>#REF!</f>
      </c>
      <c r="AG23" s="152">
        <f>#REF!</f>
      </c>
    </row>
    <row r="24" spans="2:33" x14ac:dyDescent="0.35">
      <c r="B24" t="s" s="149">
        <v>135</v>
      </c>
      <c r="C24" s="150">
        <f>'1'!E27</f>
      </c>
      <c r="D24" s="150">
        <f>#REF!</f>
      </c>
      <c r="E24" s="150">
        <f>#REF!</f>
      </c>
      <c r="F24" s="150">
        <f>#REF!</f>
      </c>
      <c r="G24" s="150">
        <f>#REF!</f>
      </c>
      <c r="H24" s="150">
        <f>#REF!</f>
      </c>
      <c r="I24" s="150">
        <f>#REF!</f>
      </c>
      <c r="J24" s="150">
        <f>#REF!</f>
      </c>
      <c r="K24" s="150">
        <f>#REF!</f>
      </c>
      <c r="L24" s="150">
        <f>#REF!</f>
      </c>
      <c r="M24" s="150">
        <f>#REF!</f>
      </c>
      <c r="N24" s="150">
        <f>#REF!</f>
      </c>
      <c r="O24" s="150">
        <f>#REF!</f>
      </c>
      <c r="P24" s="150">
        <f>#REF!</f>
      </c>
      <c r="Q24" s="150">
        <f>#REF!</f>
      </c>
      <c r="R24" s="150">
        <f>#REF!</f>
      </c>
      <c r="S24" s="150">
        <f>#REF!</f>
      </c>
      <c r="T24" s="150">
        <f>#REF!</f>
      </c>
      <c r="U24" s="150">
        <f>#REF!</f>
      </c>
      <c r="V24" s="150">
        <f>#REF!</f>
      </c>
      <c r="W24" s="150">
        <f>#REF!</f>
      </c>
      <c r="X24" s="150">
        <f>#REF!</f>
      </c>
      <c r="Y24" s="150">
        <f>#REF!</f>
      </c>
      <c r="Z24" s="150">
        <f>#REF!</f>
      </c>
      <c r="AA24" s="150">
        <f>#REF!</f>
      </c>
      <c r="AB24" s="150">
        <f>#REF!</f>
      </c>
      <c r="AC24" s="150">
        <f>#REF!</f>
      </c>
      <c r="AD24" s="150">
        <f>#REF!</f>
      </c>
      <c r="AE24" s="150">
        <f>#REF!</f>
      </c>
      <c r="AF24" s="150">
        <f>#REF!</f>
      </c>
      <c r="AG24" s="150">
        <f>#REF!</f>
      </c>
    </row>
    <row r="25" spans="2:33" x14ac:dyDescent="0.35">
      <c r="B25" t="s" s="151">
        <v>128</v>
      </c>
      <c r="C25" s="153">
        <f>'1'!E28</f>
      </c>
      <c r="D25" s="152">
        <f>#REF!</f>
      </c>
      <c r="E25" s="152">
        <f>#REF!</f>
      </c>
      <c r="F25" s="152">
        <f>#REF!</f>
      </c>
      <c r="G25" s="152">
        <f>#REF!</f>
      </c>
      <c r="H25" s="152">
        <f>#REF!</f>
      </c>
      <c r="I25" s="152">
        <f>#REF!</f>
      </c>
      <c r="J25" s="152">
        <f>#REF!</f>
      </c>
      <c r="K25" s="152">
        <f>#REF!</f>
      </c>
      <c r="L25" s="152">
        <f>#REF!</f>
      </c>
      <c r="M25" s="152">
        <f>#REF!</f>
      </c>
      <c r="N25" s="152">
        <f>#REF!</f>
      </c>
      <c r="O25" s="152">
        <f>#REF!</f>
      </c>
      <c r="P25" s="152">
        <f>#REF!</f>
      </c>
      <c r="Q25" s="152">
        <f>#REF!</f>
      </c>
      <c r="R25" s="152">
        <f>#REF!</f>
      </c>
      <c r="S25" s="152">
        <f>#REF!</f>
      </c>
      <c r="T25" s="152">
        <f>#REF!</f>
      </c>
      <c r="U25" s="152">
        <f>#REF!</f>
      </c>
      <c r="V25" s="152">
        <f>#REF!</f>
      </c>
      <c r="W25" s="152">
        <f>#REF!</f>
      </c>
      <c r="X25" s="152">
        <f>#REF!</f>
      </c>
      <c r="Y25" s="152">
        <f>#REF!</f>
      </c>
      <c r="Z25" s="152">
        <f>#REF!</f>
      </c>
      <c r="AA25" s="152">
        <f>#REF!</f>
      </c>
      <c r="AB25" s="152">
        <f>#REF!</f>
      </c>
      <c r="AC25" s="152">
        <f>#REF!</f>
      </c>
      <c r="AD25" s="152">
        <f>#REF!</f>
      </c>
      <c r="AE25" s="152">
        <f>#REF!</f>
      </c>
      <c r="AF25" s="152">
        <f>#REF!</f>
      </c>
      <c r="AG25" s="152">
        <f>#REF!</f>
      </c>
    </row>
    <row r="26" spans="2:33" x14ac:dyDescent="0.35">
      <c r="B26" t="s" s="149">
        <v>129</v>
      </c>
      <c r="C26" s="150">
        <f>'1'!E29</f>
      </c>
      <c r="D26" s="150">
        <f>#REF!</f>
      </c>
      <c r="E26" s="150">
        <f>#REF!</f>
      </c>
      <c r="F26" s="150">
        <f>#REF!</f>
      </c>
      <c r="G26" s="150">
        <f>#REF!</f>
      </c>
      <c r="H26" s="150">
        <f>#REF!</f>
      </c>
      <c r="I26" s="150">
        <f>#REF!</f>
      </c>
      <c r="J26" s="150">
        <f>#REF!</f>
      </c>
      <c r="K26" s="150">
        <f>#REF!</f>
      </c>
      <c r="L26" s="150">
        <f>#REF!</f>
      </c>
      <c r="M26" s="150">
        <f>#REF!</f>
      </c>
      <c r="N26" s="150">
        <f>#REF!</f>
      </c>
      <c r="O26" s="150">
        <f>#REF!</f>
      </c>
      <c r="P26" s="150">
        <f>#REF!</f>
      </c>
      <c r="Q26" s="150">
        <f>#REF!</f>
      </c>
      <c r="R26" s="150">
        <f>#REF!</f>
      </c>
      <c r="S26" s="150">
        <f>#REF!</f>
      </c>
      <c r="T26" s="150">
        <f>#REF!</f>
      </c>
      <c r="U26" s="150">
        <f>#REF!</f>
      </c>
      <c r="V26" s="150">
        <f>#REF!</f>
      </c>
      <c r="W26" s="150">
        <f>#REF!</f>
      </c>
      <c r="X26" s="150">
        <f>#REF!</f>
      </c>
      <c r="Y26" s="150">
        <f>#REF!</f>
      </c>
      <c r="Z26" s="150">
        <f>#REF!</f>
      </c>
      <c r="AA26" s="150">
        <f>#REF!</f>
      </c>
      <c r="AB26" s="150">
        <f>#REF!</f>
      </c>
      <c r="AC26" s="150">
        <f>#REF!</f>
      </c>
      <c r="AD26" s="150">
        <f>#REF!</f>
      </c>
      <c r="AE26" s="150">
        <f>#REF!</f>
      </c>
      <c r="AF26" s="150">
        <f>#REF!</f>
      </c>
      <c r="AG26" s="150">
        <f>#REF!</f>
      </c>
    </row>
    <row r="27" spans="2:33" x14ac:dyDescent="0.35">
      <c r="B27" s="75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</row>
    <row r="28" spans="2:33" x14ac:dyDescent="0.35">
      <c r="B28" s="58"/>
    </row>
    <row r="29" spans="2:33" x14ac:dyDescent="0.35">
      <c r="B29" s="58"/>
    </row>
    <row r="30" spans="2:33" ht="15" thickBot="1" x14ac:dyDescent="0.4">
      <c r="B30" s="58"/>
    </row>
    <row r="31" spans="2:33" ht="15" thickBot="1" x14ac:dyDescent="0.4">
      <c r="B31" t="s" s="357">
        <v>132</v>
      </c>
      <c r="C31" s="358"/>
      <c r="D31" s="358"/>
      <c r="E31" s="358"/>
      <c r="F31" s="358"/>
      <c r="G31" s="358"/>
      <c r="H31" s="358"/>
      <c r="I31" s="358"/>
      <c r="J31" s="358"/>
      <c r="K31" s="358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  <c r="AA31" s="358"/>
      <c r="AB31" s="358"/>
      <c r="AC31" s="358"/>
      <c r="AD31" s="358"/>
      <c r="AE31" s="358"/>
      <c r="AF31" s="358"/>
      <c r="AG31" s="359"/>
    </row>
    <row r="32" spans="2:33" ht="2.5" customHeight="1" thickBot="1" x14ac:dyDescent="0.4">
      <c r="B32" s="58"/>
    </row>
    <row r="33" spans="2:33" ht="15" thickBot="1" x14ac:dyDescent="0.4">
      <c r="B33" s="156"/>
      <c r="C33" s="147">
        <v>1</v>
      </c>
      <c r="D33" s="147">
        <v>2</v>
      </c>
      <c r="E33" s="147">
        <v>3</v>
      </c>
      <c r="F33" s="147">
        <v>4</v>
      </c>
      <c r="G33" s="147">
        <f>F33+1</f>
      </c>
      <c r="H33" s="147">
        <f t="shared" ref="H33:AG33" si="6">G33+1</f>
      </c>
      <c r="I33" s="147">
        <f t="shared" si="6"/>
      </c>
      <c r="J33" s="147">
        <f t="shared" si="6"/>
      </c>
      <c r="K33" s="147">
        <f t="shared" si="6"/>
      </c>
      <c r="L33" s="147">
        <f t="shared" si="6"/>
      </c>
      <c r="M33" s="147">
        <f t="shared" si="6"/>
      </c>
      <c r="N33" s="147">
        <f t="shared" si="6"/>
      </c>
      <c r="O33" s="147">
        <f t="shared" si="6"/>
      </c>
      <c r="P33" s="147">
        <f t="shared" si="6"/>
      </c>
      <c r="Q33" s="147">
        <f t="shared" si="6"/>
      </c>
      <c r="R33" s="147">
        <f t="shared" si="6"/>
      </c>
      <c r="S33" s="147">
        <f t="shared" si="6"/>
      </c>
      <c r="T33" s="147">
        <f t="shared" si="6"/>
      </c>
      <c r="U33" s="147">
        <f t="shared" si="6"/>
      </c>
      <c r="V33" s="147">
        <f t="shared" si="6"/>
      </c>
      <c r="W33" s="147">
        <f t="shared" si="6"/>
      </c>
      <c r="X33" s="147">
        <f t="shared" si="6"/>
      </c>
      <c r="Y33" s="147">
        <f t="shared" si="6"/>
      </c>
      <c r="Z33" s="147">
        <f t="shared" si="6"/>
      </c>
      <c r="AA33" s="147">
        <f t="shared" si="6"/>
      </c>
      <c r="AB33" s="147">
        <f t="shared" si="6"/>
      </c>
      <c r="AC33" s="147">
        <f t="shared" si="6"/>
      </c>
      <c r="AD33" s="147">
        <f t="shared" si="6"/>
      </c>
      <c r="AE33" s="147">
        <f t="shared" si="6"/>
      </c>
      <c r="AF33" s="147">
        <f t="shared" si="6"/>
      </c>
      <c r="AG33" s="148">
        <f t="shared" si="6"/>
      </c>
    </row>
    <row r="34" spans="2:33" ht="14.5" customHeight="1" x14ac:dyDescent="0.35">
      <c r="B34" t="s" s="154">
        <v>127</v>
      </c>
      <c r="C34" s="155">
        <f>'1'!F25</f>
      </c>
      <c r="D34" s="155">
        <f>#REF!</f>
      </c>
      <c r="E34" s="155">
        <f>#REF!</f>
      </c>
      <c r="F34" s="155">
        <f>#REF!</f>
      </c>
      <c r="G34" s="155">
        <f>#REF!</f>
      </c>
      <c r="H34" s="155">
        <f>#REF!</f>
      </c>
      <c r="I34" s="155">
        <f>#REF!</f>
      </c>
      <c r="J34" s="155">
        <f>#REF!</f>
      </c>
      <c r="K34" s="155">
        <f>#REF!</f>
      </c>
      <c r="L34" s="155">
        <f>#REF!</f>
      </c>
      <c r="M34" s="155">
        <f>#REF!</f>
      </c>
      <c r="N34" s="155">
        <f>#REF!</f>
      </c>
      <c r="O34" s="155">
        <f>#REF!</f>
      </c>
      <c r="P34" s="155">
        <f>#REF!</f>
      </c>
      <c r="Q34" s="155">
        <f>#REF!</f>
      </c>
      <c r="R34" s="155">
        <f>#REF!</f>
      </c>
      <c r="S34" s="155">
        <f>#REF!</f>
      </c>
      <c r="T34" s="155">
        <f>#REF!</f>
      </c>
      <c r="U34" s="155">
        <f>#REF!</f>
      </c>
      <c r="V34" s="155">
        <f>#REF!</f>
      </c>
      <c r="W34" s="155">
        <f>#REF!</f>
      </c>
      <c r="X34" s="155">
        <f>#REF!</f>
      </c>
      <c r="Y34" s="155">
        <f>#REF!</f>
      </c>
      <c r="Z34" s="155">
        <f>#REF!</f>
      </c>
      <c r="AA34" s="155">
        <f>#REF!</f>
      </c>
      <c r="AB34" s="155">
        <f>#REF!</f>
      </c>
      <c r="AC34" s="155">
        <f>#REF!</f>
      </c>
      <c r="AD34" s="155">
        <f>#REF!</f>
      </c>
      <c r="AE34" s="155">
        <f>#REF!</f>
      </c>
      <c r="AF34" s="155">
        <f>#REF!</f>
      </c>
      <c r="AG34" s="155">
        <f>#REF!</f>
      </c>
    </row>
    <row r="35" spans="2:33" x14ac:dyDescent="0.35">
      <c r="B35" t="s" s="151">
        <v>134</v>
      </c>
      <c r="C35" s="150">
        <f>'1'!F26</f>
      </c>
      <c r="D35" s="150">
        <f>#REF!</f>
      </c>
      <c r="E35" s="150">
        <f>#REF!</f>
      </c>
      <c r="F35" s="150">
        <f>#REF!</f>
      </c>
      <c r="G35" s="150">
        <f>#REF!</f>
      </c>
      <c r="H35" s="150">
        <f>#REF!</f>
      </c>
      <c r="I35" s="150">
        <f>#REF!</f>
      </c>
      <c r="J35" s="150">
        <f>#REF!</f>
      </c>
      <c r="K35" s="150">
        <f>#REF!</f>
      </c>
      <c r="L35" s="150">
        <f>#REF!</f>
      </c>
      <c r="M35" s="150">
        <f>#REF!</f>
      </c>
      <c r="N35" s="150">
        <f>#REF!</f>
      </c>
      <c r="O35" s="150">
        <f>#REF!</f>
      </c>
      <c r="P35" s="150">
        <f>#REF!</f>
      </c>
      <c r="Q35" s="150">
        <f>#REF!</f>
      </c>
      <c r="R35" s="150">
        <f>#REF!</f>
      </c>
      <c r="S35" s="150">
        <f>#REF!</f>
      </c>
      <c r="T35" s="150">
        <f>#REF!</f>
      </c>
      <c r="U35" s="150">
        <f>#REF!</f>
      </c>
      <c r="V35" s="150">
        <f>#REF!</f>
      </c>
      <c r="W35" s="150">
        <f>#REF!</f>
      </c>
      <c r="X35" s="150">
        <f>#REF!</f>
      </c>
      <c r="Y35" s="150">
        <f>#REF!</f>
      </c>
      <c r="Z35" s="150">
        <f>#REF!</f>
      </c>
      <c r="AA35" s="150">
        <f>#REF!</f>
      </c>
      <c r="AB35" s="150">
        <f>#REF!</f>
      </c>
      <c r="AC35" s="150">
        <f>#REF!</f>
      </c>
      <c r="AD35" s="150">
        <f>#REF!</f>
      </c>
      <c r="AE35" s="150">
        <f>#REF!</f>
      </c>
      <c r="AF35" s="150">
        <f>#REF!</f>
      </c>
      <c r="AG35" s="150">
        <f>#REF!</f>
      </c>
    </row>
    <row r="36" spans="2:33" x14ac:dyDescent="0.35">
      <c r="B36" t="s" s="149">
        <v>135</v>
      </c>
      <c r="C36" s="150">
        <f>'1'!F27</f>
      </c>
      <c r="D36" s="150">
        <f>#REF!</f>
      </c>
      <c r="E36" s="150">
        <f>#REF!</f>
      </c>
      <c r="F36" s="150">
        <f>#REF!</f>
      </c>
      <c r="G36" s="150">
        <f>#REF!</f>
      </c>
      <c r="H36" s="150">
        <f>#REF!</f>
      </c>
      <c r="I36" s="150">
        <f>#REF!</f>
      </c>
      <c r="J36" s="150">
        <f>#REF!</f>
      </c>
      <c r="K36" s="150">
        <f>#REF!</f>
      </c>
      <c r="L36" s="150">
        <f>#REF!</f>
      </c>
      <c r="M36" s="150">
        <f>#REF!</f>
      </c>
      <c r="N36" s="150">
        <f>#REF!</f>
      </c>
      <c r="O36" s="150">
        <f>#REF!</f>
      </c>
      <c r="P36" s="150">
        <f>#REF!</f>
      </c>
      <c r="Q36" s="150">
        <f>#REF!</f>
      </c>
      <c r="R36" s="150">
        <f>#REF!</f>
      </c>
      <c r="S36" s="150">
        <f>#REF!</f>
      </c>
      <c r="T36" s="150">
        <f>#REF!</f>
      </c>
      <c r="U36" s="150">
        <f>#REF!</f>
      </c>
      <c r="V36" s="150">
        <f>#REF!</f>
      </c>
      <c r="W36" s="150">
        <f>#REF!</f>
      </c>
      <c r="X36" s="150">
        <f>#REF!</f>
      </c>
      <c r="Y36" s="150">
        <f>#REF!</f>
      </c>
      <c r="Z36" s="150">
        <f>#REF!</f>
      </c>
      <c r="AA36" s="150">
        <f>#REF!</f>
      </c>
      <c r="AB36" s="150">
        <f>#REF!</f>
      </c>
      <c r="AC36" s="150">
        <f>#REF!</f>
      </c>
      <c r="AD36" s="150">
        <f>#REF!</f>
      </c>
      <c r="AE36" s="150">
        <f>#REF!</f>
      </c>
      <c r="AF36" s="150">
        <f>#REF!</f>
      </c>
      <c r="AG36" s="150">
        <f>#REF!</f>
      </c>
    </row>
    <row r="37" spans="2:33" x14ac:dyDescent="0.35">
      <c r="B37" t="s" s="151">
        <v>128</v>
      </c>
      <c r="C37" s="150">
        <f>'1'!F28</f>
      </c>
      <c r="D37" s="150">
        <f>#REF!</f>
      </c>
      <c r="E37" s="150">
        <f>#REF!</f>
      </c>
      <c r="F37" s="150">
        <f>#REF!</f>
      </c>
      <c r="G37" s="150">
        <f>#REF!</f>
      </c>
      <c r="H37" s="150">
        <f>#REF!</f>
      </c>
      <c r="I37" s="150">
        <f>#REF!</f>
      </c>
      <c r="J37" s="150">
        <f>#REF!</f>
      </c>
      <c r="K37" s="150">
        <f>#REF!</f>
      </c>
      <c r="L37" s="150">
        <f>#REF!</f>
      </c>
      <c r="M37" s="150">
        <f>#REF!</f>
      </c>
      <c r="N37" s="150">
        <f>#REF!</f>
      </c>
      <c r="O37" s="150">
        <f>#REF!</f>
      </c>
      <c r="P37" s="150">
        <f>#REF!</f>
      </c>
      <c r="Q37" s="150">
        <f>#REF!</f>
      </c>
      <c r="R37" s="150">
        <f>#REF!</f>
      </c>
      <c r="S37" s="150">
        <f>#REF!</f>
      </c>
      <c r="T37" s="150">
        <f>#REF!</f>
      </c>
      <c r="U37" s="150">
        <f>#REF!</f>
      </c>
      <c r="V37" s="150">
        <f>#REF!</f>
      </c>
      <c r="W37" s="150">
        <f>#REF!</f>
      </c>
      <c r="X37" s="150">
        <f>#REF!</f>
      </c>
      <c r="Y37" s="150">
        <f>#REF!</f>
      </c>
      <c r="Z37" s="150">
        <f>#REF!</f>
      </c>
      <c r="AA37" s="150">
        <f>#REF!</f>
      </c>
      <c r="AB37" s="150">
        <f>#REF!</f>
      </c>
      <c r="AC37" s="150">
        <f>#REF!</f>
      </c>
      <c r="AD37" s="150">
        <f>#REF!</f>
      </c>
      <c r="AE37" s="150">
        <f>#REF!</f>
      </c>
      <c r="AF37" s="150">
        <f>#REF!</f>
      </c>
      <c r="AG37" s="150">
        <f>#REF!</f>
      </c>
    </row>
    <row r="38" spans="2:33" x14ac:dyDescent="0.35">
      <c r="B38" t="s" s="149">
        <v>129</v>
      </c>
      <c r="C38" s="150">
        <f>'1'!F29</f>
      </c>
      <c r="D38" s="150">
        <f>#REF!</f>
      </c>
      <c r="E38" s="150">
        <f>#REF!</f>
      </c>
      <c r="F38" s="150">
        <f>#REF!</f>
      </c>
      <c r="G38" s="150">
        <f>#REF!</f>
      </c>
      <c r="H38" s="150">
        <f>#REF!</f>
      </c>
      <c r="I38" s="150">
        <f>#REF!</f>
      </c>
      <c r="J38" s="150">
        <f>#REF!</f>
      </c>
      <c r="K38" s="150">
        <f>#REF!</f>
      </c>
      <c r="L38" s="150">
        <f>#REF!</f>
      </c>
      <c r="M38" s="150">
        <f>#REF!</f>
      </c>
      <c r="N38" s="150">
        <f>#REF!</f>
      </c>
      <c r="O38" s="150">
        <f>#REF!</f>
      </c>
      <c r="P38" s="150">
        <f>#REF!</f>
      </c>
      <c r="Q38" s="150">
        <f>#REF!</f>
      </c>
      <c r="R38" s="150">
        <f>#REF!</f>
      </c>
      <c r="S38" s="150">
        <f>#REF!</f>
      </c>
      <c r="T38" s="150">
        <f>#REF!</f>
      </c>
      <c r="U38" s="150">
        <f>#REF!</f>
      </c>
      <c r="V38" s="150">
        <f>#REF!</f>
      </c>
      <c r="W38" s="150">
        <f>#REF!</f>
      </c>
      <c r="X38" s="150">
        <f>#REF!</f>
      </c>
      <c r="Y38" s="150">
        <f>#REF!</f>
      </c>
      <c r="Z38" s="150">
        <f>#REF!</f>
      </c>
      <c r="AA38" s="150">
        <f>#REF!</f>
      </c>
      <c r="AB38" s="150">
        <f>#REF!</f>
      </c>
      <c r="AC38" s="150">
        <f>#REF!</f>
      </c>
      <c r="AD38" s="150">
        <f>#REF!</f>
      </c>
      <c r="AE38" s="150">
        <f>#REF!</f>
      </c>
      <c r="AF38" s="150">
        <f>#REF!</f>
      </c>
      <c r="AG38" s="150">
        <f>#REF!</f>
      </c>
    </row>
    <row r="39" spans="2:33" x14ac:dyDescent="0.35">
      <c r="B39" s="75"/>
      <c r="C39" s="73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</row>
    <row r="40" spans="2:33" x14ac:dyDescent="0.35">
      <c r="B40" s="58"/>
    </row>
    <row r="41" spans="2:33" x14ac:dyDescent="0.35">
      <c r="B41" s="58"/>
    </row>
    <row r="42" spans="2:33" ht="15" thickBot="1" x14ac:dyDescent="0.4">
      <c r="B42" s="58"/>
    </row>
    <row r="43" spans="2:33" ht="15" thickBot="1" x14ac:dyDescent="0.4">
      <c r="B43" t="s" s="357">
        <v>136</v>
      </c>
      <c r="C43" s="358"/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9"/>
    </row>
    <row r="44" spans="2:33" ht="2.5" customHeight="1" thickBot="1" x14ac:dyDescent="0.4">
      <c r="B44" s="58"/>
    </row>
    <row r="45" spans="2:33" x14ac:dyDescent="0.35">
      <c r="B45" s="157"/>
      <c r="C45" s="158">
        <v>1</v>
      </c>
      <c r="D45" s="158">
        <v>2</v>
      </c>
      <c r="E45" s="158">
        <v>3</v>
      </c>
      <c r="F45" s="158">
        <v>4</v>
      </c>
      <c r="G45" s="158">
        <f>F45+1</f>
      </c>
      <c r="H45" s="158">
        <f t="shared" ref="H45:AG45" si="7">G45+1</f>
      </c>
      <c r="I45" s="158">
        <f t="shared" si="7"/>
      </c>
      <c r="J45" s="158">
        <f t="shared" si="7"/>
      </c>
      <c r="K45" s="158">
        <f t="shared" si="7"/>
      </c>
      <c r="L45" s="158">
        <f t="shared" si="7"/>
      </c>
      <c r="M45" s="158">
        <f t="shared" si="7"/>
      </c>
      <c r="N45" s="158">
        <f t="shared" si="7"/>
      </c>
      <c r="O45" s="158">
        <f t="shared" si="7"/>
      </c>
      <c r="P45" s="158">
        <f t="shared" si="7"/>
      </c>
      <c r="Q45" s="158">
        <f t="shared" si="7"/>
      </c>
      <c r="R45" s="158">
        <f t="shared" si="7"/>
      </c>
      <c r="S45" s="158">
        <f t="shared" si="7"/>
      </c>
      <c r="T45" s="158">
        <f t="shared" si="7"/>
      </c>
      <c r="U45" s="158">
        <f t="shared" si="7"/>
      </c>
      <c r="V45" s="158">
        <f t="shared" si="7"/>
      </c>
      <c r="W45" s="158">
        <f t="shared" si="7"/>
      </c>
      <c r="X45" s="158">
        <f t="shared" si="7"/>
      </c>
      <c r="Y45" s="158">
        <f t="shared" si="7"/>
      </c>
      <c r="Z45" s="158">
        <f t="shared" si="7"/>
      </c>
      <c r="AA45" s="158">
        <f t="shared" si="7"/>
      </c>
      <c r="AB45" s="158">
        <f t="shared" si="7"/>
      </c>
      <c r="AC45" s="158">
        <f t="shared" si="7"/>
      </c>
      <c r="AD45" s="158">
        <f t="shared" si="7"/>
      </c>
      <c r="AE45" s="158">
        <f t="shared" si="7"/>
      </c>
      <c r="AF45" s="158">
        <f t="shared" si="7"/>
      </c>
      <c r="AG45" s="159">
        <f t="shared" si="7"/>
      </c>
    </row>
    <row r="46" spans="2:33" ht="14.5" customHeight="1" x14ac:dyDescent="0.35">
      <c r="B46" t="s" s="149">
        <v>127</v>
      </c>
      <c r="C46" s="150">
        <f>'1'!G25</f>
      </c>
      <c r="D46" s="150">
        <f>#REF!</f>
      </c>
      <c r="E46" s="150">
        <f>#REF!</f>
      </c>
      <c r="F46" s="150">
        <f>#REF!</f>
      </c>
      <c r="G46" s="150">
        <f>#REF!</f>
      </c>
      <c r="H46" s="150">
        <f>#REF!</f>
      </c>
      <c r="I46" s="150">
        <f>#REF!</f>
      </c>
      <c r="J46" s="150">
        <f>#REF!</f>
      </c>
      <c r="K46" s="150">
        <f>#REF!</f>
      </c>
      <c r="L46" s="150">
        <f>#REF!</f>
      </c>
      <c r="M46" s="150">
        <f>#REF!</f>
      </c>
      <c r="N46" s="150">
        <f>#REF!</f>
      </c>
      <c r="O46" s="150">
        <f>#REF!</f>
      </c>
      <c r="P46" s="150">
        <f>#REF!</f>
      </c>
      <c r="Q46" s="150">
        <f>#REF!</f>
      </c>
      <c r="R46" s="150">
        <f>#REF!</f>
      </c>
      <c r="S46" s="150">
        <f>#REF!</f>
      </c>
      <c r="T46" s="150">
        <f>#REF!</f>
      </c>
      <c r="U46" s="150">
        <f>#REF!</f>
      </c>
      <c r="V46" s="150">
        <f>#REF!</f>
      </c>
      <c r="W46" s="150">
        <f>#REF!</f>
      </c>
      <c r="X46" s="150">
        <f>#REF!</f>
      </c>
      <c r="Y46" s="150">
        <f>#REF!</f>
      </c>
      <c r="Z46" s="150">
        <f>#REF!</f>
      </c>
      <c r="AA46" s="150">
        <f>#REF!</f>
      </c>
      <c r="AB46" s="150">
        <f>#REF!</f>
      </c>
      <c r="AC46" s="150">
        <f>#REF!</f>
      </c>
      <c r="AD46" s="150">
        <f>#REF!</f>
      </c>
      <c r="AE46" s="150">
        <f>#REF!</f>
      </c>
      <c r="AF46" s="150">
        <f>#REF!</f>
      </c>
      <c r="AG46" s="150">
        <f>#REF!</f>
      </c>
    </row>
    <row r="47" spans="2:33" x14ac:dyDescent="0.35">
      <c r="B47" t="s" s="151">
        <v>134</v>
      </c>
      <c r="C47" s="150">
        <f>'1'!G26</f>
      </c>
      <c r="D47" s="150">
        <f>#REF!</f>
      </c>
      <c r="E47" s="150">
        <f>#REF!</f>
      </c>
      <c r="F47" s="150">
        <f>#REF!</f>
      </c>
      <c r="G47" s="150">
        <f>#REF!</f>
      </c>
      <c r="H47" s="150">
        <f>#REF!</f>
      </c>
      <c r="I47" s="150">
        <f>#REF!</f>
      </c>
      <c r="J47" s="150">
        <f>#REF!</f>
      </c>
      <c r="K47" s="150">
        <f>#REF!</f>
      </c>
      <c r="L47" s="150">
        <f>#REF!</f>
      </c>
      <c r="M47" s="150">
        <f>#REF!</f>
      </c>
      <c r="N47" s="150">
        <f>#REF!</f>
      </c>
      <c r="O47" s="150">
        <f>#REF!</f>
      </c>
      <c r="P47" s="150">
        <f>#REF!</f>
      </c>
      <c r="Q47" s="150">
        <f>#REF!</f>
      </c>
      <c r="R47" s="150">
        <f>#REF!</f>
      </c>
      <c r="S47" s="150">
        <f>#REF!</f>
      </c>
      <c r="T47" s="150">
        <f>#REF!</f>
      </c>
      <c r="U47" s="150">
        <f>#REF!</f>
      </c>
      <c r="V47" s="150">
        <f>#REF!</f>
      </c>
      <c r="W47" s="150">
        <f>#REF!</f>
      </c>
      <c r="X47" s="150">
        <f>#REF!</f>
      </c>
      <c r="Y47" s="150">
        <f>#REF!</f>
      </c>
      <c r="Z47" s="150">
        <f>#REF!</f>
      </c>
      <c r="AA47" s="150">
        <f>#REF!</f>
      </c>
      <c r="AB47" s="150">
        <f>#REF!</f>
      </c>
      <c r="AC47" s="150">
        <f>#REF!</f>
      </c>
      <c r="AD47" s="150">
        <f>#REF!</f>
      </c>
      <c r="AE47" s="150">
        <f>#REF!</f>
      </c>
      <c r="AF47" s="150">
        <f>#REF!</f>
      </c>
      <c r="AG47" s="150">
        <f>#REF!</f>
      </c>
    </row>
    <row r="48" spans="2:33" x14ac:dyDescent="0.35">
      <c r="B48" t="s" s="149">
        <v>135</v>
      </c>
      <c r="C48" s="150">
        <f>'1'!G27</f>
      </c>
      <c r="D48" s="150">
        <f>#REF!</f>
      </c>
      <c r="E48" s="150">
        <f>#REF!</f>
      </c>
      <c r="F48" s="150">
        <f>#REF!</f>
      </c>
      <c r="G48" s="150">
        <f>#REF!</f>
      </c>
      <c r="H48" s="150">
        <f>#REF!</f>
      </c>
      <c r="I48" s="150">
        <f>#REF!</f>
      </c>
      <c r="J48" s="150">
        <f>#REF!</f>
      </c>
      <c r="K48" s="150">
        <f>#REF!</f>
      </c>
      <c r="L48" s="150">
        <f>#REF!</f>
      </c>
      <c r="M48" s="150">
        <f>#REF!</f>
      </c>
      <c r="N48" s="150">
        <f>#REF!</f>
      </c>
      <c r="O48" s="150">
        <f>#REF!</f>
      </c>
      <c r="P48" s="150">
        <f>#REF!</f>
      </c>
      <c r="Q48" s="150">
        <f>#REF!</f>
      </c>
      <c r="R48" s="150">
        <f>#REF!</f>
      </c>
      <c r="S48" s="150">
        <f>#REF!</f>
      </c>
      <c r="T48" s="150">
        <f>#REF!</f>
      </c>
      <c r="U48" s="150">
        <f>#REF!</f>
      </c>
      <c r="V48" s="150">
        <f>#REF!</f>
      </c>
      <c r="W48" s="150">
        <f>#REF!</f>
      </c>
      <c r="X48" s="150">
        <f>#REF!</f>
      </c>
      <c r="Y48" s="150">
        <f>#REF!</f>
      </c>
      <c r="Z48" s="150">
        <f>#REF!</f>
      </c>
      <c r="AA48" s="150">
        <f>#REF!</f>
      </c>
      <c r="AB48" s="150">
        <f>#REF!</f>
      </c>
      <c r="AC48" s="150">
        <f>#REF!</f>
      </c>
      <c r="AD48" s="150">
        <f>#REF!</f>
      </c>
      <c r="AE48" s="150">
        <f>#REF!</f>
      </c>
      <c r="AF48" s="150">
        <f>#REF!</f>
      </c>
      <c r="AG48" s="150">
        <f>#REF!</f>
      </c>
    </row>
    <row r="49" spans="2:33" x14ac:dyDescent="0.35">
      <c r="B49" t="s" s="151">
        <v>128</v>
      </c>
      <c r="C49" s="150">
        <f>'1'!G28</f>
      </c>
      <c r="D49" s="150">
        <f>#REF!</f>
      </c>
      <c r="E49" s="150">
        <f>#REF!</f>
      </c>
      <c r="F49" s="150">
        <f>#REF!</f>
      </c>
      <c r="G49" s="150">
        <f>#REF!</f>
      </c>
      <c r="H49" s="150">
        <f>#REF!</f>
      </c>
      <c r="I49" s="150">
        <f>#REF!</f>
      </c>
      <c r="J49" s="150">
        <f>#REF!</f>
      </c>
      <c r="K49" s="150">
        <f>#REF!</f>
      </c>
      <c r="L49" s="150">
        <f>#REF!</f>
      </c>
      <c r="M49" s="150">
        <f>#REF!</f>
      </c>
      <c r="N49" s="150">
        <f>#REF!</f>
      </c>
      <c r="O49" s="150">
        <f>#REF!</f>
      </c>
      <c r="P49" s="150">
        <f>#REF!</f>
      </c>
      <c r="Q49" s="150">
        <f>#REF!</f>
      </c>
      <c r="R49" s="150">
        <f>#REF!</f>
      </c>
      <c r="S49" s="150">
        <f>#REF!</f>
      </c>
      <c r="T49" s="150">
        <f>#REF!</f>
      </c>
      <c r="U49" s="150">
        <f>#REF!</f>
      </c>
      <c r="V49" s="150">
        <f>#REF!</f>
      </c>
      <c r="W49" s="150">
        <f>#REF!</f>
      </c>
      <c r="X49" s="150">
        <f>#REF!</f>
      </c>
      <c r="Y49" s="150">
        <f>#REF!</f>
      </c>
      <c r="Z49" s="150">
        <f>#REF!</f>
      </c>
      <c r="AA49" s="150">
        <f>#REF!</f>
      </c>
      <c r="AB49" s="150">
        <f>#REF!</f>
      </c>
      <c r="AC49" s="150">
        <f>#REF!</f>
      </c>
      <c r="AD49" s="150">
        <f>#REF!</f>
      </c>
      <c r="AE49" s="150">
        <f>#REF!</f>
      </c>
      <c r="AF49" s="150">
        <f>#REF!</f>
      </c>
      <c r="AG49" s="150">
        <f>#REF!</f>
      </c>
    </row>
    <row r="50" spans="2:33" x14ac:dyDescent="0.35">
      <c r="B50" t="s" s="149">
        <v>129</v>
      </c>
      <c r="C50" s="150">
        <f>'1'!G29</f>
      </c>
      <c r="D50" s="150">
        <f>#REF!</f>
      </c>
      <c r="E50" s="150">
        <f>#REF!</f>
      </c>
      <c r="F50" s="150">
        <f>#REF!</f>
      </c>
      <c r="G50" s="150">
        <f>#REF!</f>
      </c>
      <c r="H50" s="150">
        <f>#REF!</f>
      </c>
      <c r="I50" s="150">
        <f>#REF!</f>
      </c>
      <c r="J50" s="150">
        <f>#REF!</f>
      </c>
      <c r="K50" s="150">
        <f>#REF!</f>
      </c>
      <c r="L50" s="150">
        <f>#REF!</f>
      </c>
      <c r="M50" s="150">
        <f>#REF!</f>
      </c>
      <c r="N50" s="150">
        <f>#REF!</f>
      </c>
      <c r="O50" s="150">
        <f>#REF!</f>
      </c>
      <c r="P50" s="150">
        <f>#REF!</f>
      </c>
      <c r="Q50" s="150">
        <f>#REF!</f>
      </c>
      <c r="R50" s="150">
        <f>#REF!</f>
      </c>
      <c r="S50" s="150">
        <f>#REF!</f>
      </c>
      <c r="T50" s="150">
        <f>#REF!</f>
      </c>
      <c r="U50" s="150">
        <f>#REF!</f>
      </c>
      <c r="V50" s="150">
        <f>#REF!</f>
      </c>
      <c r="W50" s="150">
        <f>#REF!</f>
      </c>
      <c r="X50" s="150">
        <f>#REF!</f>
      </c>
      <c r="Y50" s="150">
        <f>#REF!</f>
      </c>
      <c r="Z50" s="150">
        <f>#REF!</f>
      </c>
      <c r="AA50" s="150">
        <f>#REF!</f>
      </c>
      <c r="AB50" s="150">
        <f>#REF!</f>
      </c>
      <c r="AC50" s="150">
        <f>#REF!</f>
      </c>
      <c r="AD50" s="150">
        <f>#REF!</f>
      </c>
      <c r="AE50" s="150">
        <f>#REF!</f>
      </c>
      <c r="AF50" s="150">
        <f>#REF!</f>
      </c>
      <c r="AG50" s="150">
        <f>#REF!</f>
      </c>
    </row>
    <row r="51" spans="2:33" x14ac:dyDescent="0.35">
      <c r="B51" s="75"/>
      <c r="C51" s="73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</row>
    <row r="52" spans="2:33" x14ac:dyDescent="0.35">
      <c r="B52" s="58"/>
    </row>
    <row r="53" spans="2:33" ht="15" thickBot="1" x14ac:dyDescent="0.4">
      <c r="B53" s="58"/>
    </row>
    <row r="54" spans="2:33" ht="15" thickBot="1" x14ac:dyDescent="0.4">
      <c r="B54" t="s" s="357">
        <v>137</v>
      </c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  <c r="AE54" s="358"/>
      <c r="AF54" s="358"/>
      <c r="AG54" s="359"/>
    </row>
    <row r="55" spans="2:33" ht="3.65" customHeight="1" thickBot="1" x14ac:dyDescent="0.4">
      <c r="B55" s="58"/>
    </row>
    <row r="56" spans="2:33" ht="15" thickBot="1" x14ac:dyDescent="0.4">
      <c r="B56" s="156"/>
      <c r="C56" s="147">
        <v>1</v>
      </c>
      <c r="D56" s="147">
        <v>2</v>
      </c>
      <c r="E56" s="147">
        <v>3</v>
      </c>
      <c r="F56" s="147">
        <v>4</v>
      </c>
      <c r="G56" s="147">
        <f>F56+1</f>
      </c>
      <c r="H56" s="147">
        <f t="shared" ref="H56:AG56" si="8">G56+1</f>
      </c>
      <c r="I56" s="147">
        <f t="shared" si="8"/>
      </c>
      <c r="J56" s="147">
        <f t="shared" si="8"/>
      </c>
      <c r="K56" s="147">
        <f t="shared" si="8"/>
      </c>
      <c r="L56" s="147">
        <f t="shared" si="8"/>
      </c>
      <c r="M56" s="147">
        <f t="shared" si="8"/>
      </c>
      <c r="N56" s="147">
        <f t="shared" si="8"/>
      </c>
      <c r="O56" s="147">
        <f t="shared" si="8"/>
      </c>
      <c r="P56" s="147">
        <f t="shared" si="8"/>
      </c>
      <c r="Q56" s="147">
        <f t="shared" si="8"/>
      </c>
      <c r="R56" s="147">
        <f t="shared" si="8"/>
      </c>
      <c r="S56" s="147">
        <f t="shared" si="8"/>
      </c>
      <c r="T56" s="147">
        <f t="shared" si="8"/>
      </c>
      <c r="U56" s="147">
        <f t="shared" si="8"/>
      </c>
      <c r="V56" s="147">
        <f t="shared" si="8"/>
      </c>
      <c r="W56" s="147">
        <f t="shared" si="8"/>
      </c>
      <c r="X56" s="147">
        <f t="shared" si="8"/>
      </c>
      <c r="Y56" s="147">
        <f t="shared" si="8"/>
      </c>
      <c r="Z56" s="147">
        <f t="shared" si="8"/>
      </c>
      <c r="AA56" s="147">
        <f t="shared" si="8"/>
      </c>
      <c r="AB56" s="147">
        <f t="shared" si="8"/>
      </c>
      <c r="AC56" s="147">
        <f t="shared" si="8"/>
      </c>
      <c r="AD56" s="147">
        <f t="shared" si="8"/>
      </c>
      <c r="AE56" s="147">
        <f t="shared" si="8"/>
      </c>
      <c r="AF56" s="147">
        <f t="shared" si="8"/>
      </c>
      <c r="AG56" s="148">
        <f t="shared" si="8"/>
      </c>
    </row>
    <row r="57" spans="2:33" ht="14.5" customHeight="1" x14ac:dyDescent="0.35">
      <c r="B57" t="s" s="154">
        <v>127</v>
      </c>
      <c r="C57" s="155">
        <f>'1'!H25</f>
      </c>
      <c r="D57" s="155">
        <f>#REF!</f>
      </c>
      <c r="E57" s="155">
        <f>#REF!</f>
      </c>
      <c r="F57" s="155">
        <f>#REF!</f>
      </c>
      <c r="G57" s="155">
        <f>#REF!</f>
      </c>
      <c r="H57" s="155">
        <f>#REF!</f>
      </c>
      <c r="I57" s="155">
        <f>#REF!</f>
      </c>
      <c r="J57" s="155">
        <f>#REF!</f>
      </c>
      <c r="K57" s="155">
        <f>#REF!</f>
      </c>
      <c r="L57" s="155">
        <f>#REF!</f>
      </c>
      <c r="M57" s="155">
        <f>#REF!</f>
      </c>
      <c r="N57" s="155">
        <f>#REF!</f>
      </c>
      <c r="O57" s="155">
        <f>#REF!</f>
      </c>
      <c r="P57" s="155">
        <f>#REF!</f>
      </c>
      <c r="Q57" s="155">
        <f>#REF!</f>
      </c>
      <c r="R57" s="155">
        <f>#REF!</f>
      </c>
      <c r="S57" s="155">
        <f>#REF!</f>
      </c>
      <c r="T57" s="155">
        <f>#REF!</f>
      </c>
      <c r="U57" s="155">
        <f>#REF!</f>
      </c>
      <c r="V57" s="155">
        <f>#REF!</f>
      </c>
      <c r="W57" s="155">
        <f>#REF!</f>
      </c>
      <c r="X57" s="155">
        <f>#REF!</f>
      </c>
      <c r="Y57" s="155">
        <f>#REF!</f>
      </c>
      <c r="Z57" s="155">
        <f>#REF!</f>
      </c>
      <c r="AA57" s="155">
        <f>#REF!</f>
      </c>
      <c r="AB57" s="155">
        <f>#REF!</f>
      </c>
      <c r="AC57" s="155">
        <f>#REF!</f>
      </c>
      <c r="AD57" s="155">
        <f>#REF!</f>
      </c>
      <c r="AE57" s="155">
        <f>#REF!</f>
      </c>
      <c r="AF57" s="155">
        <f>#REF!</f>
      </c>
      <c r="AG57" s="155">
        <f>#REF!</f>
      </c>
    </row>
    <row r="58" spans="2:33" x14ac:dyDescent="0.35">
      <c r="B58" t="s" s="151">
        <v>134</v>
      </c>
      <c r="C58" s="150">
        <f>'1'!H26</f>
      </c>
      <c r="D58" s="150">
        <f>#REF!</f>
      </c>
      <c r="E58" s="150">
        <f>#REF!</f>
      </c>
      <c r="F58" s="150">
        <f>#REF!</f>
      </c>
      <c r="G58" s="150">
        <f>#REF!</f>
      </c>
      <c r="H58" s="150">
        <f>#REF!</f>
      </c>
      <c r="I58" s="150">
        <f>#REF!</f>
      </c>
      <c r="J58" s="150">
        <f>#REF!</f>
      </c>
      <c r="K58" s="150">
        <f>#REF!</f>
      </c>
      <c r="L58" s="150">
        <f>#REF!</f>
      </c>
      <c r="M58" s="150">
        <f>#REF!</f>
      </c>
      <c r="N58" s="150">
        <f>#REF!</f>
      </c>
      <c r="O58" s="150">
        <f>#REF!</f>
      </c>
      <c r="P58" s="150">
        <f>#REF!</f>
      </c>
      <c r="Q58" s="150">
        <f>#REF!</f>
      </c>
      <c r="R58" s="150">
        <f>#REF!</f>
      </c>
      <c r="S58" s="150">
        <f>#REF!</f>
      </c>
      <c r="T58" s="150">
        <f>#REF!</f>
      </c>
      <c r="U58" s="150">
        <f>#REF!</f>
      </c>
      <c r="V58" s="150">
        <f>#REF!</f>
      </c>
      <c r="W58" s="150">
        <f>#REF!</f>
      </c>
      <c r="X58" s="150">
        <f>#REF!</f>
      </c>
      <c r="Y58" s="150">
        <f>#REF!</f>
      </c>
      <c r="Z58" s="150">
        <f>#REF!</f>
      </c>
      <c r="AA58" s="150">
        <f>#REF!</f>
      </c>
      <c r="AB58" s="150">
        <f>#REF!</f>
      </c>
      <c r="AC58" s="150">
        <f>#REF!</f>
      </c>
      <c r="AD58" s="150">
        <f>#REF!</f>
      </c>
      <c r="AE58" s="150">
        <f>#REF!</f>
      </c>
      <c r="AF58" s="150">
        <f>#REF!</f>
      </c>
      <c r="AG58" s="150">
        <f>#REF!</f>
      </c>
    </row>
    <row r="59" spans="2:33" x14ac:dyDescent="0.35">
      <c r="B59" t="s" s="149">
        <v>135</v>
      </c>
      <c r="C59" s="150">
        <f>'1'!H27</f>
      </c>
      <c r="D59" s="150">
        <f>#REF!</f>
      </c>
      <c r="E59" s="150">
        <f>#REF!</f>
      </c>
      <c r="F59" s="150">
        <f>#REF!</f>
      </c>
      <c r="G59" s="150">
        <f>#REF!</f>
      </c>
      <c r="H59" s="150">
        <f>#REF!</f>
      </c>
      <c r="I59" s="150">
        <f>#REF!</f>
      </c>
      <c r="J59" s="150">
        <f>#REF!</f>
      </c>
      <c r="K59" s="150">
        <f>#REF!</f>
      </c>
      <c r="L59" s="150">
        <f>#REF!</f>
      </c>
      <c r="M59" s="150">
        <f>#REF!</f>
      </c>
      <c r="N59" s="150">
        <f>#REF!</f>
      </c>
      <c r="O59" s="150">
        <f>#REF!</f>
      </c>
      <c r="P59" s="150">
        <f>#REF!</f>
      </c>
      <c r="Q59" s="150">
        <f>#REF!</f>
      </c>
      <c r="R59" s="150">
        <f>#REF!</f>
      </c>
      <c r="S59" s="150">
        <f>#REF!</f>
      </c>
      <c r="T59" s="150">
        <f>#REF!</f>
      </c>
      <c r="U59" s="150">
        <f>#REF!</f>
      </c>
      <c r="V59" s="150">
        <f>#REF!</f>
      </c>
      <c r="W59" s="150">
        <f>#REF!</f>
      </c>
      <c r="X59" s="150">
        <f>#REF!</f>
      </c>
      <c r="Y59" s="150">
        <f>#REF!</f>
      </c>
      <c r="Z59" s="150">
        <f>#REF!</f>
      </c>
      <c r="AA59" s="150">
        <f>#REF!</f>
      </c>
      <c r="AB59" s="150">
        <f>#REF!</f>
      </c>
      <c r="AC59" s="150">
        <f>#REF!</f>
      </c>
      <c r="AD59" s="150">
        <f>#REF!</f>
      </c>
      <c r="AE59" s="150">
        <f>#REF!</f>
      </c>
      <c r="AF59" s="150">
        <f>#REF!</f>
      </c>
      <c r="AG59" s="150">
        <f>#REF!</f>
      </c>
    </row>
    <row r="60" spans="2:33" x14ac:dyDescent="0.35">
      <c r="B60" t="s" s="151">
        <v>128</v>
      </c>
      <c r="C60" s="150">
        <f>'1'!H28</f>
      </c>
      <c r="D60" s="150">
        <f>#REF!</f>
      </c>
      <c r="E60" s="150">
        <f>#REF!</f>
      </c>
      <c r="F60" s="150">
        <f>#REF!</f>
      </c>
      <c r="G60" s="150">
        <f>#REF!</f>
      </c>
      <c r="H60" s="150">
        <f>#REF!</f>
      </c>
      <c r="I60" s="150">
        <f>#REF!</f>
      </c>
      <c r="J60" s="150">
        <f>#REF!</f>
      </c>
      <c r="K60" s="150">
        <f>#REF!</f>
      </c>
      <c r="L60" s="150">
        <f>#REF!</f>
      </c>
      <c r="M60" s="150">
        <f>#REF!</f>
      </c>
      <c r="N60" s="150">
        <f>#REF!</f>
      </c>
      <c r="O60" s="150">
        <f>#REF!</f>
      </c>
      <c r="P60" s="150">
        <f>#REF!</f>
      </c>
      <c r="Q60" s="150">
        <f>#REF!</f>
      </c>
      <c r="R60" s="150">
        <f>#REF!</f>
      </c>
      <c r="S60" s="150">
        <f>#REF!</f>
      </c>
      <c r="T60" s="150">
        <f>#REF!</f>
      </c>
      <c r="U60" s="150">
        <f>#REF!</f>
      </c>
      <c r="V60" s="150">
        <f>#REF!</f>
      </c>
      <c r="W60" s="150">
        <f>#REF!</f>
      </c>
      <c r="X60" s="150">
        <f>#REF!</f>
      </c>
      <c r="Y60" s="150">
        <f>#REF!</f>
      </c>
      <c r="Z60" s="150">
        <f>#REF!</f>
      </c>
      <c r="AA60" s="150">
        <f>#REF!</f>
      </c>
      <c r="AB60" s="150">
        <f>#REF!</f>
      </c>
      <c r="AC60" s="150">
        <f>#REF!</f>
      </c>
      <c r="AD60" s="150">
        <f>#REF!</f>
      </c>
      <c r="AE60" s="150">
        <f>#REF!</f>
      </c>
      <c r="AF60" s="150">
        <f>#REF!</f>
      </c>
      <c r="AG60" s="150">
        <f>#REF!</f>
      </c>
    </row>
    <row r="61" spans="2:33" x14ac:dyDescent="0.35">
      <c r="B61" t="s" s="149">
        <v>129</v>
      </c>
      <c r="C61" s="150">
        <f>'1'!H29</f>
      </c>
      <c r="D61" s="150">
        <f>#REF!</f>
      </c>
      <c r="E61" s="150">
        <f>#REF!</f>
      </c>
      <c r="F61" s="150">
        <f>#REF!</f>
      </c>
      <c r="G61" s="150">
        <f>#REF!</f>
      </c>
      <c r="H61" s="150">
        <f>#REF!</f>
      </c>
      <c r="I61" s="150">
        <f>#REF!</f>
      </c>
      <c r="J61" s="150">
        <f>#REF!</f>
      </c>
      <c r="K61" s="150">
        <f>#REF!</f>
      </c>
      <c r="L61" s="150">
        <f>#REF!</f>
      </c>
      <c r="M61" s="150">
        <f>#REF!</f>
      </c>
      <c r="N61" s="150">
        <f>#REF!</f>
      </c>
      <c r="O61" s="150">
        <f>#REF!</f>
      </c>
      <c r="P61" s="150">
        <f>#REF!</f>
      </c>
      <c r="Q61" s="150">
        <f>#REF!</f>
      </c>
      <c r="R61" s="150">
        <f>#REF!</f>
      </c>
      <c r="S61" s="150">
        <f>#REF!</f>
      </c>
      <c r="T61" s="150">
        <f>#REF!</f>
      </c>
      <c r="U61" s="150">
        <f>#REF!</f>
      </c>
      <c r="V61" s="150">
        <f>#REF!</f>
      </c>
      <c r="W61" s="150">
        <f>#REF!</f>
      </c>
      <c r="X61" s="150">
        <f>#REF!</f>
      </c>
      <c r="Y61" s="150">
        <f>#REF!</f>
      </c>
      <c r="Z61" s="150">
        <f>#REF!</f>
      </c>
      <c r="AA61" s="150">
        <f>#REF!</f>
      </c>
      <c r="AB61" s="150">
        <f>#REF!</f>
      </c>
      <c r="AC61" s="150">
        <f>#REF!</f>
      </c>
      <c r="AD61" s="150">
        <f>#REF!</f>
      </c>
      <c r="AE61" s="150">
        <f>#REF!</f>
      </c>
      <c r="AF61" s="150">
        <f>#REF!</f>
      </c>
      <c r="AG61" s="150">
        <f>#REF!</f>
      </c>
    </row>
    <row r="62" spans="2:33" x14ac:dyDescent="0.35">
      <c r="B62" s="75"/>
      <c r="C62" s="73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</row>
    <row r="63" spans="2:33" x14ac:dyDescent="0.35">
      <c r="B63" s="58"/>
    </row>
    <row r="64" spans="2:33" x14ac:dyDescent="0.35">
      <c r="B64" s="58"/>
    </row>
    <row r="65" spans="2:2" x14ac:dyDescent="0.35">
      <c r="B65" s="58"/>
    </row>
    <row r="66" spans="2:2" x14ac:dyDescent="0.35">
      <c r="B66" s="58"/>
    </row>
    <row r="67" spans="2:2" x14ac:dyDescent="0.35">
      <c r="B67" s="58"/>
    </row>
    <row r="68" spans="2:2" x14ac:dyDescent="0.35">
      <c r="B68" s="58"/>
    </row>
  </sheetData>
  <mergeCells count="5">
    <mergeCell ref="B21:AG21"/>
    <mergeCell ref="B31:AG31"/>
    <mergeCell ref="B54:AG54"/>
    <mergeCell ref="B43:AG43"/>
    <mergeCell ref="C2:AG2"/>
  </mergeCells>
  <pageMargins left="0.2" right="0.2" top="0.75" bottom="0.75" header="0.3" footer="0.3"/>
  <pageSetup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1ECD-79BA-4C2F-B29F-8863B421B9A7}">
  <sheetPr codeName="Sheet4"/>
  <sheetViews>
    <sheetView topLeftCell="B25" workbookViewId="0">
      <selection activeCell="L20" sqref="L20"/>
    </sheetView>
  </sheetViews>
  <sheetFormatPr defaultColWidth="9.1796875" defaultRowHeight="14.5" x14ac:dyDescent="0.35"/>
  <cols>
    <col min="1" max="1" width="8.7265625" style="74"/>
    <col min="17" max="17" width="8.7265625" style="74"/>
  </cols>
  <sheetData>
    <row r="1" spans="2:16" s="74" customFormat="1" x14ac:dyDescent="0.35"/>
    <row r="2" spans="2:16" x14ac:dyDescent="0.35">
      <c r="B2" t="s" s="362">
        <v>133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</row>
    <row r="3" spans="2:16" s="74" customFormat="1" x14ac:dyDescent="0.35"/>
    <row r="16" spans="2:16" s="74" customFormat="1" x14ac:dyDescent="0.35"/>
    <row r="17" spans="2:16" s="74" customFormat="1" x14ac:dyDescent="0.35"/>
    <row r="18" spans="2:16" x14ac:dyDescent="0.35">
      <c r="B18" t="s" s="363">
        <v>132</v>
      </c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 s="363"/>
      <c r="P18" s="363"/>
    </row>
    <row r="32" spans="2:16" s="74" customFormat="1" x14ac:dyDescent="0.35"/>
    <row r="33" spans="2:16" s="74" customFormat="1" x14ac:dyDescent="0.35"/>
    <row r="34" spans="2:16" x14ac:dyDescent="0.35">
      <c r="B34" t="s" s="364">
        <v>136</v>
      </c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3"/>
      <c r="P34" s="363"/>
    </row>
    <row r="48" spans="2:16" s="74" customFormat="1" x14ac:dyDescent="0.35"/>
    <row r="49" spans="2:16" s="74" customFormat="1" x14ac:dyDescent="0.35"/>
    <row r="50" spans="2:16" x14ac:dyDescent="0.35">
      <c r="B50" t="s" s="365">
        <v>137</v>
      </c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</row>
  </sheetData>
  <mergeCells count="4">
    <mergeCell ref="B2:P2"/>
    <mergeCell ref="B18:P18"/>
    <mergeCell ref="B34:P34"/>
    <mergeCell ref="B50:P5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94C1-20AF-4B5E-9ED2-645146BCB9A7}">
  <sheetPr codeName="Sheet5"/>
  <sheetViews>
    <sheetView workbookViewId="0">
      <pane ySplit="5" topLeftCell="A28" activePane="bottomLeft" state="frozen"/>
      <selection activeCell="L20" sqref="L20"/>
      <selection pane="bottomLeft" activeCell="L20" sqref="L20"/>
    </sheetView>
  </sheetViews>
  <sheetFormatPr defaultColWidth="9.1796875" defaultRowHeight="14.5" x14ac:dyDescent="0.35"/>
  <cols>
    <col min="1" max="1" width="3.7265625" customWidth="1"/>
    <col min="2" max="2" width="14.1796875" customWidth="1"/>
    <col min="3" max="5" width="10.26953125" customWidth="1"/>
    <col min="6" max="6" width="11.81640625" customWidth="1"/>
    <col min="7" max="7" width="11.54296875" customWidth="1"/>
    <col min="8" max="8" width="14.453125" customWidth="1"/>
    <col min="9" max="9" width="10.26953125" customWidth="1"/>
    <col min="10" max="12" width="13.1796875" customWidth="1"/>
    <col min="13" max="13" width="13.7265625" customWidth="1"/>
    <col min="14" max="26" width="11.26953125" customWidth="1"/>
  </cols>
  <sheetData>
    <row r="1" spans="1:32" ht="15" thickBot="1" x14ac:dyDescent="0.4"/>
    <row r="2" spans="1:32" ht="15" thickTop="1" x14ac:dyDescent="0.35">
      <c r="A2" s="20"/>
      <c r="B2" t="s" s="366">
        <v>61</v>
      </c>
      <c r="C2" s="366"/>
      <c r="D2" s="366"/>
      <c r="E2" s="366"/>
      <c r="F2" s="366"/>
      <c r="G2" s="366"/>
      <c r="H2" s="366"/>
      <c r="I2" s="367"/>
      <c r="J2" t="s" s="368">
        <v>79</v>
      </c>
      <c r="K2" s="366"/>
      <c r="L2" s="366"/>
      <c r="M2" s="366"/>
      <c r="N2" s="366"/>
      <c r="O2" t="s" s="369">
        <v>88</v>
      </c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32" hidden="1" x14ac:dyDescent="0.35">
      <c r="A3" t="s" s="21">
        <v>64</v>
      </c>
      <c r="B3" t="s" s="17">
        <v>61</v>
      </c>
      <c r="C3" t="s" s="11">
        <v>68</v>
      </c>
      <c r="D3" t="s" s="11">
        <v>69</v>
      </c>
      <c r="E3" t="s" s="11">
        <v>80</v>
      </c>
      <c r="F3" t="s" s="11">
        <v>70</v>
      </c>
      <c r="G3" t="s" s="11">
        <v>71</v>
      </c>
      <c r="H3" t="s" s="11">
        <v>82</v>
      </c>
      <c r="I3" t="s" s="14">
        <v>72</v>
      </c>
      <c r="J3" t="s" s="15">
        <v>63</v>
      </c>
      <c r="K3" t="s" s="1">
        <v>84</v>
      </c>
      <c r="L3" t="s" s="1">
        <v>87</v>
      </c>
      <c r="M3" t="s" s="1">
        <v>85</v>
      </c>
      <c r="N3" t="s" s="1">
        <v>73</v>
      </c>
      <c r="O3" t="s" s="24">
        <v>74</v>
      </c>
      <c r="P3" t="s">
        <v>75</v>
      </c>
      <c r="Q3" t="s">
        <v>76</v>
      </c>
      <c r="R3" t="s">
        <v>92</v>
      </c>
      <c r="S3" t="s">
        <v>93</v>
      </c>
      <c r="T3" t="s">
        <v>96</v>
      </c>
      <c r="U3" t="s">
        <v>121</v>
      </c>
      <c r="V3" t="s">
        <v>120</v>
      </c>
      <c r="W3" t="s">
        <v>123</v>
      </c>
      <c r="X3" t="s">
        <v>125</v>
      </c>
      <c r="Y3" t="s">
        <v>77</v>
      </c>
      <c r="Z3" t="s">
        <v>78</v>
      </c>
    </row>
    <row r="4" spans="1:32" hidden="1" x14ac:dyDescent="0.35">
      <c r="A4" s="21"/>
      <c r="B4" s="18"/>
      <c r="C4" s="12"/>
      <c r="D4" s="11"/>
      <c r="E4" s="11"/>
      <c r="F4" s="11"/>
      <c r="G4" s="11"/>
      <c r="H4" s="11"/>
      <c r="I4" s="14"/>
      <c r="J4" s="15"/>
      <c r="K4" s="1"/>
      <c r="L4" s="1"/>
      <c r="M4" s="1"/>
      <c r="N4" s="1"/>
      <c r="O4" s="24"/>
    </row>
    <row r="5" spans="1:32" s="1" customFormat="1" x14ac:dyDescent="0.35">
      <c r="A5" t="s" s="22">
        <v>54</v>
      </c>
      <c r="B5" t="s" s="1">
        <v>56</v>
      </c>
      <c r="C5" t="s" s="1">
        <v>62</v>
      </c>
      <c r="D5" t="s" s="1">
        <v>57</v>
      </c>
      <c r="E5" t="s" s="1">
        <v>81</v>
      </c>
      <c r="F5" t="s" s="1">
        <v>59</v>
      </c>
      <c r="G5" t="s" s="1">
        <v>60</v>
      </c>
      <c r="H5" t="s" s="1">
        <v>83</v>
      </c>
      <c r="I5" t="s" s="16">
        <v>58</v>
      </c>
      <c r="J5" t="s" s="15">
        <v>57</v>
      </c>
      <c r="K5" t="s" s="1">
        <v>81</v>
      </c>
      <c r="L5" t="s" s="1">
        <v>98</v>
      </c>
      <c r="M5" t="s" s="1">
        <v>86</v>
      </c>
      <c r="N5" t="s" s="1">
        <v>62</v>
      </c>
      <c r="O5" t="s" s="25">
        <v>62</v>
      </c>
      <c r="P5" t="s" s="1">
        <v>57</v>
      </c>
      <c r="Q5" t="s" s="1">
        <v>89</v>
      </c>
      <c r="R5" t="s" s="1">
        <v>90</v>
      </c>
      <c r="S5" t="s" s="1">
        <v>94</v>
      </c>
      <c r="T5" t="s" s="1">
        <v>97</v>
      </c>
      <c r="U5" t="s" s="1">
        <v>105</v>
      </c>
      <c r="V5" t="s" s="1">
        <v>106</v>
      </c>
      <c r="W5" t="s" s="1">
        <v>124</v>
      </c>
      <c r="X5" t="s" s="1">
        <v>126</v>
      </c>
      <c r="Y5" t="s" s="1">
        <v>91</v>
      </c>
      <c r="Z5" t="s" s="1">
        <v>95</v>
      </c>
    </row>
    <row r="6" spans="1:32" x14ac:dyDescent="0.35">
      <c r="A6" s="21">
        <v>1</v>
      </c>
      <c r="B6" s="76">
        <f>'1'!F8</f>
      </c>
      <c r="C6" s="77">
        <f>'1'!F15</f>
      </c>
      <c r="D6" s="77">
        <f>'1'!F7</f>
      </c>
      <c r="E6" s="77">
        <f>'1'!F6</f>
      </c>
      <c r="F6" s="77">
        <f>'1'!F18</f>
      </c>
      <c r="G6" s="77">
        <f>'1'!L7</f>
      </c>
      <c r="H6" s="77">
        <f>Table1[[#This Row],[Column7]]-Table1[[#This Row],[Column62]]</f>
      </c>
      <c r="I6" s="78">
        <f>'1'!F17</f>
      </c>
      <c r="J6" s="79"/>
      <c r="K6" s="77"/>
      <c r="L6" s="77"/>
      <c r="M6" s="77">
        <f>Table1[[#This Row],[Column7]]-Table1[[#This Row],[Column62]]*30%</f>
      </c>
      <c r="N6" s="77"/>
      <c r="O6" s="80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81"/>
      <c r="AB6" s="81"/>
      <c r="AC6" s="81"/>
      <c r="AD6" s="81"/>
      <c r="AE6" s="81"/>
      <c r="AF6" s="81"/>
    </row>
    <row r="7" spans="1:32" x14ac:dyDescent="0.35">
      <c r="A7" s="21">
        <v>2</v>
      </c>
      <c r="B7" s="76">
        <f>#REF!</f>
      </c>
      <c r="C7" s="77">
        <f>#REF!</f>
      </c>
      <c r="D7" s="77">
        <f>#REF!</f>
      </c>
      <c r="E7" s="77">
        <f>#REF!</f>
      </c>
      <c r="F7" s="77">
        <f>#REF!</f>
      </c>
      <c r="G7" s="77">
        <f>#REF!</f>
      </c>
      <c r="H7" s="77">
        <f>Table1[[#This Row],[Column7]]-Table1[[#This Row],[Column62]]</f>
      </c>
      <c r="I7" s="78">
        <f>#REF!</f>
      </c>
      <c r="J7" s="79"/>
      <c r="K7" s="77"/>
      <c r="L7" s="77"/>
      <c r="M7" s="77">
        <f>Table1[[#This Row],[Column7]]-Table1[[#This Row],[Column62]]*30%</f>
      </c>
      <c r="N7" s="77"/>
      <c r="O7" s="80"/>
      <c r="P7" s="77"/>
      <c r="Q7" s="77"/>
      <c r="R7" s="77"/>
      <c r="S7" s="77">
        <v>22</v>
      </c>
      <c r="T7" s="77"/>
      <c r="U7" s="77"/>
      <c r="V7" s="77"/>
      <c r="W7" s="77"/>
      <c r="X7" s="77"/>
      <c r="Y7" s="77"/>
      <c r="Z7" s="77"/>
      <c r="AA7" s="81"/>
      <c r="AB7" s="81"/>
      <c r="AC7" s="81"/>
      <c r="AD7" s="81"/>
      <c r="AE7" s="81"/>
      <c r="AF7" s="81"/>
    </row>
    <row r="8" spans="1:32" x14ac:dyDescent="0.35">
      <c r="A8" s="21">
        <v>3</v>
      </c>
      <c r="B8" s="76">
        <f>#REF!</f>
      </c>
      <c r="C8" s="77">
        <f>#REF!</f>
      </c>
      <c r="D8" s="77">
        <f>#REF!</f>
      </c>
      <c r="E8" s="77">
        <f>#REF!</f>
      </c>
      <c r="F8" s="77">
        <f>#REF!</f>
      </c>
      <c r="G8" s="77">
        <f>#REF!</f>
      </c>
      <c r="H8" s="77">
        <f>Table1[[#This Row],[Column7]]-Table1[[#This Row],[Column62]]</f>
      </c>
      <c r="I8" s="78">
        <f>#REF!</f>
      </c>
      <c r="J8" s="79"/>
      <c r="K8" s="77"/>
      <c r="L8" s="77"/>
      <c r="M8" s="77">
        <f>Table1[[#This Row],[Column7]]-Table1[[#This Row],[Column62]]*30%</f>
      </c>
      <c r="N8" s="77"/>
      <c r="O8" s="80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81"/>
      <c r="AB8" s="81"/>
      <c r="AC8" s="81"/>
      <c r="AD8" s="81"/>
      <c r="AE8" s="81"/>
      <c r="AF8" s="81"/>
    </row>
    <row r="9" spans="1:32" x14ac:dyDescent="0.35">
      <c r="A9" s="21">
        <v>4</v>
      </c>
      <c r="B9" s="76">
        <f>#REF!</f>
      </c>
      <c r="C9" s="77">
        <f>#REF!</f>
      </c>
      <c r="D9" s="77">
        <f>#REF!</f>
      </c>
      <c r="E9" s="77">
        <f>#REF!</f>
      </c>
      <c r="F9" s="77">
        <f>#REF!</f>
      </c>
      <c r="G9" s="77">
        <f>#REF!</f>
      </c>
      <c r="H9" s="77">
        <f>Table1[[#This Row],[Column7]]-Table1[[#This Row],[Column62]]</f>
      </c>
      <c r="I9" s="78">
        <f>#REF!</f>
      </c>
      <c r="J9" s="79"/>
      <c r="K9" s="77"/>
      <c r="L9" s="77"/>
      <c r="M9" s="77">
        <f>Table1[[#This Row],[Column7]]-Table1[[#This Row],[Column62]]*30%</f>
      </c>
      <c r="N9" s="77"/>
      <c r="O9" s="80"/>
      <c r="P9" s="77"/>
      <c r="Q9" s="77"/>
      <c r="R9" s="77">
        <v>2</v>
      </c>
      <c r="S9" s="77"/>
      <c r="T9" s="77"/>
      <c r="U9" s="77"/>
      <c r="V9" s="77"/>
      <c r="W9" s="77"/>
      <c r="X9" s="77"/>
      <c r="Y9" s="77"/>
      <c r="Z9" s="77"/>
      <c r="AA9" s="81"/>
      <c r="AB9" s="81"/>
      <c r="AC9" s="81"/>
      <c r="AD9" s="81"/>
      <c r="AE9" s="81"/>
      <c r="AF9" s="81"/>
    </row>
    <row r="10" spans="1:32" x14ac:dyDescent="0.35">
      <c r="A10" s="21">
        <v>5</v>
      </c>
      <c r="B10" s="76">
        <f>#REF!</f>
      </c>
      <c r="C10" s="77">
        <f>#REF!</f>
      </c>
      <c r="D10" s="77">
        <f>#REF!</f>
      </c>
      <c r="E10" s="77">
        <f>#REF!</f>
      </c>
      <c r="F10" s="77">
        <f>#REF!</f>
      </c>
      <c r="G10" s="77">
        <f>#REF!</f>
      </c>
      <c r="H10" s="77">
        <f>Table1[[#This Row],[Column7]]-Table1[[#This Row],[Column62]]</f>
      </c>
      <c r="I10" s="78">
        <f>#REF!</f>
      </c>
      <c r="J10" s="79"/>
      <c r="K10" s="77"/>
      <c r="L10" s="77"/>
      <c r="M10" s="77">
        <f>Table1[[#This Row],[Column7]]-Table1[[#This Row],[Column62]]*30%</f>
      </c>
      <c r="N10" s="77"/>
      <c r="O10" s="80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81"/>
      <c r="AB10" s="81"/>
      <c r="AC10" s="81"/>
      <c r="AD10" s="81"/>
      <c r="AE10" s="81"/>
      <c r="AF10" s="81"/>
    </row>
    <row r="11" spans="1:32" x14ac:dyDescent="0.35">
      <c r="A11" s="21">
        <v>6</v>
      </c>
      <c r="B11" s="76">
        <f>#REF!</f>
      </c>
      <c r="C11" s="77">
        <f>#REF!</f>
      </c>
      <c r="D11" s="77">
        <f>#REF!</f>
      </c>
      <c r="E11" s="77">
        <f>#REF!</f>
      </c>
      <c r="F11" s="77">
        <f>#REF!</f>
      </c>
      <c r="G11" s="77">
        <f>#REF!</f>
      </c>
      <c r="H11" s="77">
        <f>Table1[[#This Row],[Column7]]-Table1[[#This Row],[Column62]]</f>
      </c>
      <c r="I11" s="78">
        <f>#REF!</f>
      </c>
      <c r="J11" s="79"/>
      <c r="K11" s="77"/>
      <c r="L11" s="77"/>
      <c r="M11" s="77">
        <f>Table1[[#This Row],[Column7]]-Table1[[#This Row],[Column62]]*30%</f>
      </c>
      <c r="N11" s="77"/>
      <c r="O11" s="80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81"/>
      <c r="AB11" s="81"/>
      <c r="AC11" s="81"/>
      <c r="AD11" s="81"/>
      <c r="AE11" s="81"/>
      <c r="AF11" s="81"/>
    </row>
    <row r="12" spans="1:32" x14ac:dyDescent="0.35">
      <c r="A12" s="21">
        <v>7</v>
      </c>
      <c r="B12" s="76">
        <f>#REF!</f>
      </c>
      <c r="C12" s="77">
        <f>#REF!</f>
      </c>
      <c r="D12" s="77">
        <f>#REF!</f>
      </c>
      <c r="E12" s="77">
        <f>#REF!</f>
      </c>
      <c r="F12" s="77">
        <f>#REF!</f>
      </c>
      <c r="G12" s="77">
        <f>#REF!</f>
      </c>
      <c r="H12" s="77">
        <f>Table1[[#This Row],[Column7]]-Table1[[#This Row],[Column62]]</f>
      </c>
      <c r="I12" s="78">
        <f>#REF!</f>
      </c>
      <c r="J12" s="79"/>
      <c r="K12" s="77"/>
      <c r="L12" s="77"/>
      <c r="M12" s="77">
        <f>Table1[[#This Row],[Column7]]-Table1[[#This Row],[Column62]]*30%</f>
      </c>
      <c r="N12" s="77"/>
      <c r="O12" s="82"/>
      <c r="P12" s="83"/>
      <c r="Q12" s="83"/>
      <c r="R12" s="83">
        <v>20</v>
      </c>
      <c r="S12" s="83"/>
      <c r="T12" s="83"/>
      <c r="U12" s="83"/>
      <c r="V12" s="83"/>
      <c r="W12" s="83"/>
      <c r="X12" s="83"/>
      <c r="Y12" s="83"/>
      <c r="Z12" s="83"/>
      <c r="AA12" s="81"/>
      <c r="AB12" s="81"/>
      <c r="AC12" s="81"/>
      <c r="AD12" s="81"/>
      <c r="AE12" s="81"/>
      <c r="AF12" s="81"/>
    </row>
    <row r="13" spans="1:32" ht="15" thickBot="1" x14ac:dyDescent="0.4">
      <c r="A13" t="s" s="100">
        <v>145</v>
      </c>
      <c r="B13" s="101">
        <f>SUBTOTAL(109,B6:B12)</f>
      </c>
      <c r="C13" s="101">
        <f t="shared" ref="C13:Z13" si="0">SUBTOTAL(109,C4:C12)</f>
      </c>
      <c r="D13" s="101">
        <f t="shared" si="0"/>
      </c>
      <c r="E13" s="101">
        <f t="shared" si="0"/>
      </c>
      <c r="F13" s="101">
        <f t="shared" si="0"/>
      </c>
      <c r="G13" s="101">
        <f t="shared" si="0"/>
      </c>
      <c r="H13" s="101">
        <f t="shared" si="0"/>
      </c>
      <c r="I13" s="101">
        <f t="shared" si="0"/>
      </c>
      <c r="J13" s="101">
        <f t="shared" si="0"/>
      </c>
      <c r="K13" s="101">
        <f t="shared" si="0"/>
      </c>
      <c r="L13" s="101">
        <f t="shared" si="0"/>
      </c>
      <c r="M13" s="101">
        <f t="shared" si="0"/>
      </c>
      <c r="N13" s="101">
        <f t="shared" si="0"/>
      </c>
      <c r="O13" s="101">
        <f t="shared" si="0"/>
      </c>
      <c r="P13" s="101">
        <f t="shared" si="0"/>
      </c>
      <c r="Q13" s="101">
        <f t="shared" si="0"/>
      </c>
      <c r="R13" s="101">
        <f t="shared" si="0"/>
      </c>
      <c r="S13" s="101">
        <f t="shared" si="0"/>
      </c>
      <c r="T13" s="101">
        <f t="shared" si="0"/>
      </c>
      <c r="U13" s="101">
        <f t="shared" si="0"/>
      </c>
      <c r="V13" s="101">
        <f t="shared" si="0"/>
      </c>
      <c r="W13" s="101">
        <f t="shared" si="0"/>
      </c>
      <c r="X13" s="101">
        <f t="shared" si="0"/>
      </c>
      <c r="Y13" s="101">
        <f t="shared" si="0"/>
      </c>
      <c r="Z13" s="101">
        <f t="shared" si="0"/>
      </c>
      <c r="AA13" s="84"/>
      <c r="AB13" s="84"/>
      <c r="AC13" s="84"/>
      <c r="AD13" s="84"/>
      <c r="AE13" s="84"/>
      <c r="AF13" s="84"/>
    </row>
    <row r="14" spans="1:32" ht="3" customHeight="1" x14ac:dyDescent="0.35">
      <c r="A14" s="95"/>
      <c r="B14" s="96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9"/>
      <c r="AA14" s="81"/>
      <c r="AB14" s="81"/>
      <c r="AC14" s="81"/>
      <c r="AD14" s="81"/>
      <c r="AE14" s="81"/>
      <c r="AF14" s="81"/>
    </row>
    <row r="15" spans="1:32" x14ac:dyDescent="0.35">
      <c r="A15" s="21">
        <v>8</v>
      </c>
      <c r="B15" s="76">
        <f>#REF!</f>
      </c>
      <c r="C15" s="77">
        <f>#REF!</f>
      </c>
      <c r="D15" s="77">
        <f>#REF!</f>
      </c>
      <c r="E15" s="77">
        <f>#REF!</f>
      </c>
      <c r="F15" s="77">
        <f>#REF!</f>
      </c>
      <c r="G15" s="77">
        <f>#REF!</f>
      </c>
      <c r="H15" s="77">
        <f>Table1[[#This Row],[Column7]]-Table1[[#This Row],[Column62]]</f>
      </c>
      <c r="I15" s="78">
        <f>#REF!</f>
      </c>
      <c r="J15" s="79"/>
      <c r="K15" s="77"/>
      <c r="L15" s="77"/>
      <c r="M15" s="77">
        <f>Table1[[#This Row],[Column7]]-Table1[[#This Row],[Column62]]*30%</f>
      </c>
      <c r="N15" s="77"/>
      <c r="O15" s="80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81"/>
      <c r="AB15" s="81"/>
      <c r="AC15" s="81"/>
      <c r="AD15" s="81"/>
      <c r="AE15" s="81"/>
      <c r="AF15" s="81"/>
    </row>
    <row r="16" spans="1:32" x14ac:dyDescent="0.35">
      <c r="A16" s="21">
        <v>9</v>
      </c>
      <c r="B16" s="76">
        <f>#REF!</f>
      </c>
      <c r="C16" s="77">
        <f>#REF!</f>
      </c>
      <c r="D16" s="77">
        <f>#REF!</f>
      </c>
      <c r="E16" s="77">
        <f>#REF!</f>
      </c>
      <c r="F16" s="77">
        <f>#REF!</f>
      </c>
      <c r="G16" s="77">
        <f>#REF!</f>
      </c>
      <c r="H16" s="77">
        <f>Table1[[#This Row],[Column7]]-Table1[[#This Row],[Column62]]</f>
      </c>
      <c r="I16" s="78">
        <f>#REF!</f>
      </c>
      <c r="J16" s="79"/>
      <c r="K16" s="77"/>
      <c r="L16" s="77"/>
      <c r="M16" s="77">
        <f>Table1[[#This Row],[Column7]]-Table1[[#This Row],[Column62]]*30%</f>
      </c>
      <c r="N16" s="77"/>
      <c r="O16" s="80"/>
      <c r="P16" s="77"/>
      <c r="Q16" s="77"/>
      <c r="R16" s="77">
        <v>0</v>
      </c>
      <c r="S16" s="77"/>
      <c r="T16" s="77"/>
      <c r="U16" s="77"/>
      <c r="V16" s="77"/>
      <c r="W16" s="77"/>
      <c r="X16" s="77"/>
      <c r="Y16" s="77"/>
      <c r="Z16" s="77"/>
      <c r="AA16" s="81"/>
      <c r="AB16" s="81"/>
      <c r="AC16" s="81"/>
      <c r="AD16" s="81"/>
      <c r="AE16" s="81"/>
      <c r="AF16" s="81"/>
    </row>
    <row r="17" spans="1:32" x14ac:dyDescent="0.35">
      <c r="A17" s="21">
        <v>10</v>
      </c>
      <c r="B17" s="76">
        <f>#REF!</f>
      </c>
      <c r="C17" s="77">
        <f>#REF!</f>
      </c>
      <c r="D17" s="77">
        <f>#REF!</f>
      </c>
      <c r="E17" s="77">
        <f>#REF!</f>
      </c>
      <c r="F17" s="77">
        <f>#REF!</f>
      </c>
      <c r="G17" s="77">
        <f>#REF!</f>
      </c>
      <c r="H17" s="77">
        <f>Table1[[#This Row],[Column7]]-Table1[[#This Row],[Column62]]</f>
      </c>
      <c r="I17" s="78">
        <f>#REF!</f>
      </c>
      <c r="J17" s="79"/>
      <c r="K17" s="77"/>
      <c r="L17" s="77"/>
      <c r="M17" s="77">
        <f>Table1[[#This Row],[Column7]]-Table1[[#This Row],[Column62]]*30%</f>
      </c>
      <c r="N17" s="77"/>
      <c r="O17" s="80"/>
      <c r="P17" s="77"/>
      <c r="Q17" s="77"/>
      <c r="R17" s="77">
        <v>66</v>
      </c>
      <c r="S17" s="77"/>
      <c r="T17" s="77"/>
      <c r="U17" s="77"/>
      <c r="V17" s="77"/>
      <c r="W17" s="77"/>
      <c r="X17" s="77"/>
      <c r="Y17" s="77"/>
      <c r="Z17" s="77"/>
      <c r="AA17" s="81"/>
      <c r="AB17" s="81"/>
      <c r="AC17" s="81"/>
      <c r="AD17" s="81"/>
      <c r="AE17" s="81"/>
      <c r="AF17" s="81"/>
    </row>
    <row r="18" spans="1:32" x14ac:dyDescent="0.35">
      <c r="A18" s="21">
        <v>11</v>
      </c>
      <c r="B18" s="76">
        <f>#REF!</f>
      </c>
      <c r="C18" s="77">
        <f>#REF!</f>
      </c>
      <c r="D18" s="77">
        <f>#REF!</f>
      </c>
      <c r="E18" s="77">
        <f>#REF!</f>
      </c>
      <c r="F18" s="77">
        <f>#REF!</f>
      </c>
      <c r="G18" s="77">
        <f>#REF!</f>
      </c>
      <c r="H18" s="77">
        <f>Table1[[#This Row],[Column7]]-Table1[[#This Row],[Column62]]</f>
      </c>
      <c r="I18" s="78">
        <f>#REF!</f>
      </c>
      <c r="J18" s="79"/>
      <c r="K18" s="77"/>
      <c r="L18" s="77"/>
      <c r="M18" s="77">
        <f>Table1[[#This Row],[Column7]]-Table1[[#This Row],[Column62]]*30%</f>
      </c>
      <c r="N18" s="77"/>
      <c r="O18" s="80"/>
      <c r="P18" s="77"/>
      <c r="Q18" s="77"/>
      <c r="R18" s="77">
        <v>20</v>
      </c>
      <c r="S18" s="77"/>
      <c r="T18" s="77"/>
      <c r="U18" s="77"/>
      <c r="V18" s="77"/>
      <c r="W18" s="77"/>
      <c r="X18" s="77"/>
      <c r="Y18" s="77"/>
      <c r="Z18" s="77"/>
      <c r="AA18" s="81"/>
      <c r="AB18" s="81"/>
      <c r="AC18" s="81"/>
      <c r="AD18" s="81"/>
      <c r="AE18" s="81"/>
      <c r="AF18" s="81"/>
    </row>
    <row r="19" spans="1:32" x14ac:dyDescent="0.35">
      <c r="A19" s="21">
        <v>12</v>
      </c>
      <c r="B19" s="76">
        <f>#REF!</f>
      </c>
      <c r="C19" s="77">
        <f>#REF!</f>
      </c>
      <c r="D19" s="77">
        <f>#REF!</f>
      </c>
      <c r="E19" s="77">
        <f>#REF!</f>
      </c>
      <c r="F19" s="77">
        <f>#REF!</f>
      </c>
      <c r="G19" s="77">
        <f>#REF!</f>
      </c>
      <c r="H19" s="77">
        <f>Table1[[#This Row],[Column7]]-Table1[[#This Row],[Column62]]</f>
      </c>
      <c r="I19" s="78">
        <f>#REF!</f>
      </c>
      <c r="J19" s="79"/>
      <c r="K19" s="77"/>
      <c r="L19" s="77"/>
      <c r="M19" s="77">
        <f>Table1[[#This Row],[Column7]]-Table1[[#This Row],[Column62]]*30%</f>
      </c>
      <c r="N19" s="77"/>
      <c r="O19" s="80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81"/>
      <c r="AB19" s="81"/>
      <c r="AC19" s="81"/>
      <c r="AD19" s="81"/>
      <c r="AE19" s="81"/>
      <c r="AF19" s="81"/>
    </row>
    <row r="20" spans="1:32" x14ac:dyDescent="0.35">
      <c r="A20" s="21">
        <v>13</v>
      </c>
      <c r="B20" s="76">
        <f>#REF!</f>
      </c>
      <c r="C20" s="77">
        <f>#REF!</f>
      </c>
      <c r="D20" s="77">
        <f>#REF!</f>
      </c>
      <c r="E20" s="77">
        <f>#REF!</f>
      </c>
      <c r="F20" s="77">
        <f>#REF!</f>
      </c>
      <c r="G20" s="77">
        <f>#REF!</f>
      </c>
      <c r="H20" s="77">
        <f>Table1[[#This Row],[Column7]]-Table1[[#This Row],[Column62]]</f>
      </c>
      <c r="I20" s="78">
        <f>#REF!</f>
      </c>
      <c r="J20" s="79"/>
      <c r="K20" s="77"/>
      <c r="L20" s="77"/>
      <c r="M20" s="77">
        <f>Table1[[#This Row],[Column7]]-Table1[[#This Row],[Column62]]*30%</f>
      </c>
      <c r="N20" s="77"/>
      <c r="O20" s="80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81"/>
      <c r="AB20" s="81"/>
      <c r="AC20" s="81"/>
      <c r="AD20" s="81"/>
      <c r="AE20" s="81"/>
      <c r="AF20" s="81"/>
    </row>
    <row r="21" spans="1:32" x14ac:dyDescent="0.35">
      <c r="A21" s="21">
        <v>14</v>
      </c>
      <c r="B21" s="76">
        <f>#REF!</f>
      </c>
      <c r="C21" s="77">
        <f>#REF!</f>
      </c>
      <c r="D21" s="77">
        <f>#REF!</f>
      </c>
      <c r="E21" s="77">
        <f>#REF!</f>
      </c>
      <c r="F21" s="77">
        <f>#REF!</f>
      </c>
      <c r="G21" s="77">
        <f>#REF!</f>
      </c>
      <c r="H21" s="77">
        <f>Table1[[#This Row],[Column7]]-Table1[[#This Row],[Column62]]</f>
      </c>
      <c r="I21" s="78">
        <f>#REF!</f>
      </c>
      <c r="J21" s="79"/>
      <c r="K21" s="77"/>
      <c r="L21" s="77"/>
      <c r="M21" s="77">
        <f>Table1[[#This Row],[Column7]]-Table1[[#This Row],[Column62]]*30%</f>
      </c>
      <c r="N21" s="77"/>
      <c r="O21" s="85"/>
      <c r="P21" s="86"/>
      <c r="Q21" s="83"/>
      <c r="R21" s="83">
        <v>1</v>
      </c>
      <c r="S21" s="83">
        <v>6</v>
      </c>
      <c r="T21" s="83"/>
      <c r="U21" s="83"/>
      <c r="V21" s="83"/>
      <c r="W21" s="83"/>
      <c r="X21" s="83"/>
      <c r="Y21" s="83"/>
      <c r="Z21" s="83"/>
      <c r="AA21" s="81"/>
      <c r="AB21" s="81"/>
      <c r="AC21" s="81"/>
      <c r="AD21" s="81"/>
      <c r="AE21" s="81"/>
      <c r="AF21" s="81"/>
    </row>
    <row r="22" spans="1:32" ht="15" thickBot="1" x14ac:dyDescent="0.4">
      <c r="A22" t="s" s="100">
        <v>146</v>
      </c>
      <c r="B22" s="117">
        <f>SUBTOTAL(109,B15:B21)</f>
      </c>
      <c r="C22" s="117">
        <f t="shared" ref="C22:Z22" si="1">SUBTOTAL(109,C15:C21)</f>
      </c>
      <c r="D22" s="117">
        <f t="shared" si="1"/>
      </c>
      <c r="E22" s="117">
        <f t="shared" si="1"/>
      </c>
      <c r="F22" s="117">
        <f t="shared" si="1"/>
      </c>
      <c r="G22" s="117">
        <f t="shared" si="1"/>
      </c>
      <c r="H22" s="117">
        <f t="shared" si="1"/>
      </c>
      <c r="I22" s="117">
        <f t="shared" si="1"/>
      </c>
      <c r="J22" s="117">
        <f t="shared" si="1"/>
      </c>
      <c r="K22" s="117">
        <f t="shared" si="1"/>
      </c>
      <c r="L22" s="117">
        <f t="shared" si="1"/>
      </c>
      <c r="M22" s="117">
        <f t="shared" si="1"/>
      </c>
      <c r="N22" s="117">
        <f t="shared" si="1"/>
      </c>
      <c r="O22" s="117">
        <f t="shared" si="1"/>
      </c>
      <c r="P22" s="117">
        <f t="shared" si="1"/>
      </c>
      <c r="Q22" s="117">
        <f t="shared" si="1"/>
      </c>
      <c r="R22" s="117">
        <f t="shared" si="1"/>
      </c>
      <c r="S22" s="117">
        <f t="shared" si="1"/>
      </c>
      <c r="T22" s="117">
        <f t="shared" si="1"/>
      </c>
      <c r="U22" s="117">
        <f t="shared" si="1"/>
      </c>
      <c r="V22" s="117">
        <f t="shared" si="1"/>
      </c>
      <c r="W22" s="117">
        <f t="shared" si="1"/>
      </c>
      <c r="X22" s="117">
        <f t="shared" si="1"/>
      </c>
      <c r="Y22" s="117">
        <f t="shared" si="1"/>
      </c>
      <c r="Z22" s="117">
        <f t="shared" si="1"/>
      </c>
      <c r="AA22" s="77"/>
      <c r="AB22" s="77"/>
      <c r="AC22" s="77"/>
      <c r="AD22" s="77"/>
      <c r="AE22" s="77"/>
      <c r="AF22" s="77"/>
    </row>
    <row r="23" spans="1:32" ht="3" customHeight="1" x14ac:dyDescent="0.35">
      <c r="A23" s="106"/>
      <c r="B23" s="107"/>
      <c r="C23" s="108"/>
      <c r="D23" s="109"/>
      <c r="E23" s="108"/>
      <c r="F23" s="109"/>
      <c r="G23" s="109"/>
      <c r="H23" s="108"/>
      <c r="I23" s="110"/>
      <c r="J23" s="111"/>
      <c r="K23" s="109"/>
      <c r="L23" s="109"/>
      <c r="M23" s="109"/>
      <c r="N23" s="110"/>
      <c r="O23" s="112"/>
      <c r="P23" s="113"/>
      <c r="Q23" s="114"/>
      <c r="R23" s="114"/>
      <c r="S23" s="114"/>
      <c r="T23" s="114"/>
      <c r="U23" s="115"/>
      <c r="V23" s="115"/>
      <c r="W23" s="115"/>
      <c r="X23" s="115"/>
      <c r="Y23" s="114"/>
      <c r="Z23" s="116"/>
      <c r="AA23" s="81"/>
      <c r="AB23" s="81"/>
      <c r="AC23" s="81"/>
      <c r="AD23" s="81"/>
      <c r="AE23" s="81"/>
      <c r="AF23" s="81"/>
    </row>
    <row r="24" spans="1:32" x14ac:dyDescent="0.35">
      <c r="A24" s="21">
        <v>15</v>
      </c>
      <c r="B24" s="76">
        <f>#REF!</f>
      </c>
      <c r="C24" s="77">
        <f>#REF!</f>
      </c>
      <c r="D24" s="77">
        <f>#REF!</f>
      </c>
      <c r="E24" s="77">
        <f>#REF!</f>
      </c>
      <c r="F24" s="77">
        <f>#REF!</f>
      </c>
      <c r="G24" s="77">
        <f>#REF!</f>
      </c>
      <c r="H24" s="77">
        <f>Table1[[#This Row],[Column7]]-Table1[[#This Row],[Column62]]</f>
      </c>
      <c r="I24" s="78">
        <f>#REF!</f>
      </c>
      <c r="J24" s="79"/>
      <c r="K24" s="77"/>
      <c r="L24" s="77"/>
      <c r="M24" s="77">
        <f>Table1[[#This Row],[Column7]]-Table1[[#This Row],[Column62]]*30%</f>
      </c>
      <c r="N24" s="77"/>
      <c r="O24" s="80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81"/>
      <c r="AB24" s="81"/>
      <c r="AC24" s="81"/>
      <c r="AD24" s="81"/>
      <c r="AE24" s="81"/>
      <c r="AF24" s="81"/>
    </row>
    <row r="25" spans="1:32" x14ac:dyDescent="0.35">
      <c r="A25" s="21">
        <v>16</v>
      </c>
      <c r="B25" s="76">
        <f>#REF!</f>
      </c>
      <c r="C25" s="77">
        <f>#REF!</f>
      </c>
      <c r="D25" s="77">
        <f>#REF!</f>
      </c>
      <c r="E25" s="77">
        <f>#REF!</f>
      </c>
      <c r="F25" s="77">
        <f>#REF!</f>
      </c>
      <c r="G25" s="77">
        <f>#REF!</f>
      </c>
      <c r="H25" s="77">
        <f>Table1[[#This Row],[Column7]]-Table1[[#This Row],[Column62]]</f>
      </c>
      <c r="I25" s="78">
        <f>#REF!</f>
      </c>
      <c r="J25" s="79"/>
      <c r="K25" s="77"/>
      <c r="L25" s="77"/>
      <c r="M25" s="77">
        <f>Table1[[#This Row],[Column7]]-Table1[[#This Row],[Column62]]*30%</f>
      </c>
      <c r="N25" s="77"/>
      <c r="O25" s="80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81"/>
      <c r="AB25" s="81"/>
      <c r="AC25" s="81"/>
      <c r="AD25" s="81"/>
      <c r="AE25" s="81"/>
      <c r="AF25" s="81"/>
    </row>
    <row r="26" spans="1:32" x14ac:dyDescent="0.35">
      <c r="A26" s="21">
        <v>17</v>
      </c>
      <c r="B26" s="76">
        <f>#REF!</f>
      </c>
      <c r="C26" s="77">
        <f>#REF!</f>
      </c>
      <c r="D26" s="77">
        <f>#REF!</f>
      </c>
      <c r="E26" s="77">
        <f>#REF!</f>
      </c>
      <c r="F26" s="77">
        <f>#REF!</f>
      </c>
      <c r="G26" s="77">
        <f>#REF!</f>
      </c>
      <c r="H26" s="77">
        <f>Table1[[#This Row],[Column7]]-Table1[[#This Row],[Column62]]</f>
      </c>
      <c r="I26" s="78">
        <f>#REF!</f>
      </c>
      <c r="J26" s="79"/>
      <c r="K26" s="77"/>
      <c r="L26" s="77"/>
      <c r="M26" s="77">
        <f>Table1[[#This Row],[Column7]]-Table1[[#This Row],[Column62]]*30%</f>
      </c>
      <c r="N26" s="77"/>
      <c r="O26" s="80"/>
      <c r="P26" s="77"/>
      <c r="Q26" s="77"/>
      <c r="R26" s="77">
        <v>20</v>
      </c>
      <c r="S26" s="77"/>
      <c r="T26" s="77"/>
      <c r="U26" s="77"/>
      <c r="V26" s="77"/>
      <c r="W26" s="77"/>
      <c r="X26" s="77"/>
      <c r="Y26" s="77"/>
      <c r="Z26" s="77"/>
      <c r="AA26" s="81"/>
      <c r="AB26" s="81"/>
      <c r="AC26" s="81"/>
      <c r="AD26" s="81"/>
      <c r="AE26" s="81"/>
      <c r="AF26" s="81"/>
    </row>
    <row r="27" spans="1:32" x14ac:dyDescent="0.35">
      <c r="A27" s="21">
        <v>18</v>
      </c>
      <c r="B27" s="76">
        <f>#REF!</f>
      </c>
      <c r="C27" s="77">
        <f>#REF!</f>
      </c>
      <c r="D27" s="77">
        <f>#REF!</f>
      </c>
      <c r="E27" s="77">
        <f>#REF!</f>
      </c>
      <c r="F27" s="77">
        <f>#REF!</f>
      </c>
      <c r="G27" s="77">
        <f>#REF!</f>
      </c>
      <c r="H27" s="77">
        <f>Table1[[#This Row],[Column7]]-Table1[[#This Row],[Column62]]</f>
      </c>
      <c r="I27" s="78">
        <f>#REF!</f>
      </c>
      <c r="J27" s="79"/>
      <c r="K27" s="77"/>
      <c r="L27" s="77"/>
      <c r="M27" s="77">
        <f>Table1[[#This Row],[Column7]]-Table1[[#This Row],[Column62]]*30%</f>
      </c>
      <c r="N27" s="77"/>
      <c r="O27" s="80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81"/>
      <c r="AB27" s="81"/>
      <c r="AC27" s="81"/>
      <c r="AD27" s="81"/>
      <c r="AE27" s="81"/>
      <c r="AF27" s="81"/>
    </row>
    <row r="28" spans="1:32" x14ac:dyDescent="0.35">
      <c r="A28" s="21">
        <v>19</v>
      </c>
      <c r="B28" s="76">
        <f>#REF!</f>
      </c>
      <c r="C28" s="77">
        <f>#REF!</f>
      </c>
      <c r="D28" s="77">
        <f>#REF!</f>
      </c>
      <c r="E28" s="77">
        <f>#REF!</f>
      </c>
      <c r="F28" s="77">
        <f>#REF!</f>
      </c>
      <c r="G28" s="77">
        <f>#REF!</f>
      </c>
      <c r="H28" s="77">
        <f>Table1[[#This Row],[Column7]]-Table1[[#This Row],[Column62]]</f>
      </c>
      <c r="I28" s="78">
        <f>#REF!</f>
      </c>
      <c r="J28" s="79"/>
      <c r="K28" s="77"/>
      <c r="L28" s="77"/>
      <c r="M28" s="77">
        <f>Table1[[#This Row],[Column7]]-Table1[[#This Row],[Column62]]*30%</f>
      </c>
      <c r="N28" s="77"/>
      <c r="O28" s="80"/>
      <c r="P28" s="77"/>
      <c r="Q28" s="77"/>
      <c r="R28" s="77">
        <v>44</v>
      </c>
      <c r="S28" s="77"/>
      <c r="T28" s="77"/>
      <c r="U28" s="77"/>
      <c r="V28" s="77"/>
      <c r="W28" s="77"/>
      <c r="X28" s="77"/>
      <c r="Y28" s="77"/>
      <c r="Z28" s="77"/>
      <c r="AA28" s="81"/>
      <c r="AB28" s="81"/>
      <c r="AC28" s="81"/>
      <c r="AD28" s="81"/>
      <c r="AE28" s="81"/>
      <c r="AF28" s="81"/>
    </row>
    <row r="29" spans="1:32" x14ac:dyDescent="0.35">
      <c r="A29" s="21">
        <v>20</v>
      </c>
      <c r="B29" s="76">
        <f>#REF!</f>
      </c>
      <c r="C29" s="77">
        <f>#REF!</f>
      </c>
      <c r="D29" s="77">
        <f>#REF!</f>
      </c>
      <c r="E29" s="77">
        <f>#REF!</f>
      </c>
      <c r="F29" s="77">
        <f>#REF!</f>
      </c>
      <c r="G29" s="77">
        <f>#REF!</f>
      </c>
      <c r="H29" s="77">
        <f>Table1[[#This Row],[Column7]]-Table1[[#This Row],[Column62]]</f>
      </c>
      <c r="I29" s="78">
        <f>#REF!</f>
      </c>
      <c r="J29" s="79"/>
      <c r="K29" s="77"/>
      <c r="L29" s="77"/>
      <c r="M29" s="77">
        <f>Table1[[#This Row],[Column7]]-Table1[[#This Row],[Column62]]*30%</f>
      </c>
      <c r="N29" s="77"/>
      <c r="O29" s="80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81"/>
      <c r="AB29" s="81"/>
      <c r="AC29" s="81"/>
      <c r="AD29" s="81"/>
      <c r="AE29" s="81"/>
      <c r="AF29" s="81"/>
    </row>
    <row r="30" spans="1:32" x14ac:dyDescent="0.35">
      <c r="A30" s="21">
        <v>21</v>
      </c>
      <c r="B30" s="76">
        <f>#REF!</f>
      </c>
      <c r="C30" s="77">
        <f>#REF!</f>
      </c>
      <c r="D30" s="77">
        <f>#REF!</f>
      </c>
      <c r="E30" s="77">
        <f>#REF!</f>
      </c>
      <c r="F30" s="77">
        <f>#REF!</f>
      </c>
      <c r="G30" s="77">
        <f>#REF!</f>
      </c>
      <c r="H30" s="77">
        <f>Table1[[#This Row],[Column7]]-Table1[[#This Row],[Column62]]</f>
      </c>
      <c r="I30" s="78">
        <f>#REF!</f>
      </c>
      <c r="J30" s="79"/>
      <c r="K30" s="77"/>
      <c r="L30" s="77"/>
      <c r="M30" s="77">
        <f>Table1[[#This Row],[Column7]]-Table1[[#This Row],[Column62]]*30%</f>
      </c>
      <c r="N30" s="77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1"/>
      <c r="AB30" s="81"/>
      <c r="AC30" s="81"/>
      <c r="AD30" s="81"/>
      <c r="AE30" s="81"/>
      <c r="AF30" s="81"/>
    </row>
    <row r="31" spans="1:32" ht="15" thickBot="1" x14ac:dyDescent="0.4">
      <c r="A31" t="s" s="100">
        <v>147</v>
      </c>
      <c r="B31" s="117">
        <f>SUM(B24:B30)</f>
      </c>
      <c r="C31" s="117">
        <f t="shared" ref="C31:Z31" si="2">SUBTOTAL(109,C15:C21)</f>
      </c>
      <c r="D31" s="117">
        <f t="shared" si="2"/>
      </c>
      <c r="E31" s="117">
        <f t="shared" si="2"/>
      </c>
      <c r="F31" s="117">
        <f t="shared" si="2"/>
      </c>
      <c r="G31" s="117">
        <f t="shared" si="2"/>
      </c>
      <c r="H31" s="117">
        <f t="shared" si="2"/>
      </c>
      <c r="I31" s="117">
        <f t="shared" si="2"/>
      </c>
      <c r="J31" s="117">
        <f t="shared" si="2"/>
      </c>
      <c r="K31" s="117">
        <f t="shared" si="2"/>
      </c>
      <c r="L31" s="117">
        <f t="shared" si="2"/>
      </c>
      <c r="M31" s="117">
        <f t="shared" si="2"/>
      </c>
      <c r="N31" s="117">
        <f t="shared" si="2"/>
      </c>
      <c r="O31" s="117">
        <f t="shared" si="2"/>
      </c>
      <c r="P31" s="117">
        <f t="shared" si="2"/>
      </c>
      <c r="Q31" s="117">
        <f t="shared" si="2"/>
      </c>
      <c r="R31" s="117">
        <f t="shared" si="2"/>
      </c>
      <c r="S31" s="117">
        <f t="shared" si="2"/>
      </c>
      <c r="T31" s="117">
        <f t="shared" si="2"/>
      </c>
      <c r="U31" s="117">
        <f t="shared" si="2"/>
      </c>
      <c r="V31" s="117">
        <f t="shared" si="2"/>
      </c>
      <c r="W31" s="117">
        <f t="shared" si="2"/>
      </c>
      <c r="X31" s="117">
        <f t="shared" si="2"/>
      </c>
      <c r="Y31" s="117">
        <f t="shared" si="2"/>
      </c>
      <c r="Z31" s="117">
        <f t="shared" si="2"/>
      </c>
      <c r="AA31" s="81"/>
      <c r="AB31" s="81"/>
      <c r="AC31" s="81"/>
      <c r="AD31" s="81"/>
      <c r="AE31" s="81"/>
      <c r="AF31" s="81"/>
    </row>
    <row r="32" spans="1:32" ht="3.65" customHeight="1" x14ac:dyDescent="0.35">
      <c r="A32" s="102"/>
      <c r="B32" s="103"/>
      <c r="C32" s="104"/>
      <c r="D32" s="89"/>
      <c r="E32" s="104"/>
      <c r="F32" s="89"/>
      <c r="G32" s="89"/>
      <c r="H32" s="104"/>
      <c r="I32" s="90"/>
      <c r="J32" s="91"/>
      <c r="K32" s="89"/>
      <c r="L32" s="89"/>
      <c r="M32" s="89"/>
      <c r="N32" s="90"/>
      <c r="O32" s="118"/>
      <c r="P32" s="89"/>
      <c r="Q32" s="89"/>
      <c r="R32" s="89"/>
      <c r="S32" s="89"/>
      <c r="T32" s="89"/>
      <c r="U32" s="119"/>
      <c r="V32" s="119"/>
      <c r="W32" s="119"/>
      <c r="X32" s="119"/>
      <c r="Y32" s="89"/>
      <c r="Z32" s="120"/>
      <c r="AA32" s="81"/>
      <c r="AB32" s="81"/>
      <c r="AC32" s="81"/>
      <c r="AD32" s="81"/>
      <c r="AE32" s="81"/>
      <c r="AF32" s="81"/>
    </row>
    <row r="33" spans="1:32" x14ac:dyDescent="0.35">
      <c r="A33" s="21">
        <v>22</v>
      </c>
      <c r="B33" s="76">
        <f>#REF!</f>
      </c>
      <c r="C33" s="77">
        <f>#REF!</f>
      </c>
      <c r="D33" s="77">
        <f>#REF!</f>
      </c>
      <c r="E33" s="77">
        <f>#REF!</f>
      </c>
      <c r="F33" s="77">
        <f>#REF!</f>
      </c>
      <c r="G33" s="77">
        <f>#REF!</f>
      </c>
      <c r="H33" s="77">
        <f>Table1[[#This Row],[Column7]]-Table1[[#This Row],[Column62]]</f>
      </c>
      <c r="I33" s="78">
        <f>#REF!</f>
      </c>
      <c r="J33" s="79"/>
      <c r="K33" s="77"/>
      <c r="L33" s="77"/>
      <c r="M33" s="77">
        <f>Table1[[#This Row],[Column7]]-Table1[[#This Row],[Column62]]*30%</f>
      </c>
      <c r="N33" s="77"/>
      <c r="O33" s="80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81"/>
      <c r="AB33" s="81"/>
      <c r="AC33" s="81"/>
      <c r="AD33" s="81"/>
      <c r="AE33" s="81"/>
      <c r="AF33" s="81"/>
    </row>
    <row r="34" spans="1:32" x14ac:dyDescent="0.35">
      <c r="A34" s="21">
        <v>23</v>
      </c>
      <c r="B34" s="76">
        <f>#REF!</f>
      </c>
      <c r="C34" s="77">
        <f>#REF!</f>
      </c>
      <c r="D34" s="77">
        <f>#REF!</f>
      </c>
      <c r="E34" s="77">
        <f>#REF!</f>
      </c>
      <c r="F34" s="77">
        <f>#REF!</f>
      </c>
      <c r="G34" s="77">
        <f>#REF!</f>
      </c>
      <c r="H34" s="77">
        <f>Table1[[#This Row],[Column7]]-Table1[[#This Row],[Column62]]</f>
      </c>
      <c r="I34" s="78">
        <f>#REF!</f>
      </c>
      <c r="J34" s="79"/>
      <c r="K34" s="77"/>
      <c r="L34" s="77"/>
      <c r="M34" s="77">
        <f>Table1[[#This Row],[Column7]]-Table1[[#This Row],[Column62]]*30%</f>
      </c>
      <c r="N34" s="77"/>
      <c r="O34" s="80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81"/>
      <c r="AB34" s="81"/>
      <c r="AC34" s="81"/>
      <c r="AD34" s="81"/>
      <c r="AE34" s="81"/>
      <c r="AF34" s="81"/>
    </row>
    <row r="35" spans="1:32" x14ac:dyDescent="0.35">
      <c r="A35" s="21">
        <v>24</v>
      </c>
      <c r="B35" s="76">
        <f>#REF!</f>
      </c>
      <c r="C35" s="77">
        <f>#REF!</f>
      </c>
      <c r="D35" s="77">
        <f>#REF!</f>
      </c>
      <c r="E35" s="77">
        <f>#REF!</f>
      </c>
      <c r="F35" s="77">
        <f>#REF!</f>
      </c>
      <c r="G35" s="77">
        <f>#REF!</f>
      </c>
      <c r="H35" s="77">
        <f>Table1[[#This Row],[Column7]]-Table1[[#This Row],[Column62]]</f>
      </c>
      <c r="I35" s="78">
        <f>#REF!</f>
      </c>
      <c r="J35" s="79"/>
      <c r="K35" s="77"/>
      <c r="L35" s="77"/>
      <c r="M35" s="77">
        <f>Table1[[#This Row],[Column7]]-Table1[[#This Row],[Column62]]*30%</f>
      </c>
      <c r="N35" s="77"/>
      <c r="O35" s="80"/>
      <c r="P35" s="77"/>
      <c r="Q35" s="77"/>
      <c r="R35" s="77">
        <v>1</v>
      </c>
      <c r="S35" s="77"/>
      <c r="T35" s="77"/>
      <c r="U35" s="77"/>
      <c r="V35" s="77"/>
      <c r="W35" s="77"/>
      <c r="X35" s="77"/>
      <c r="Y35" s="77"/>
      <c r="Z35" s="77"/>
      <c r="AA35" s="81"/>
      <c r="AB35" s="81"/>
      <c r="AC35" s="81"/>
      <c r="AD35" s="81"/>
      <c r="AE35" s="81"/>
      <c r="AF35" s="81"/>
    </row>
    <row r="36" spans="1:32" x14ac:dyDescent="0.35">
      <c r="A36" s="21">
        <v>25</v>
      </c>
      <c r="B36" s="76">
        <f>#REF!</f>
      </c>
      <c r="C36" s="77">
        <f>#REF!</f>
      </c>
      <c r="D36" s="77">
        <f>#REF!</f>
      </c>
      <c r="E36" s="77">
        <f>#REF!</f>
      </c>
      <c r="F36" s="77">
        <f>#REF!</f>
      </c>
      <c r="G36" s="77">
        <f>#REF!</f>
      </c>
      <c r="H36" s="77">
        <f>Table1[[#This Row],[Column7]]-Table1[[#This Row],[Column62]]</f>
      </c>
      <c r="I36" s="78">
        <f>#REF!</f>
      </c>
      <c r="J36" s="79"/>
      <c r="K36" s="77"/>
      <c r="L36" s="77"/>
      <c r="M36" s="77">
        <f>Table1[[#This Row],[Column7]]-Table1[[#This Row],[Column62]]*30%</f>
      </c>
      <c r="N36" s="77"/>
      <c r="O36" s="80"/>
      <c r="P36" s="77"/>
      <c r="Q36" s="77"/>
      <c r="R36" s="77">
        <v>2</v>
      </c>
      <c r="S36" s="77"/>
      <c r="T36" s="77"/>
      <c r="U36" s="77"/>
      <c r="V36" s="77"/>
      <c r="W36" s="77"/>
      <c r="X36" s="77"/>
      <c r="Y36" s="77"/>
      <c r="Z36" s="77"/>
      <c r="AA36" s="81"/>
      <c r="AB36" s="81"/>
      <c r="AC36" s="81"/>
      <c r="AD36" s="81"/>
      <c r="AE36" s="81"/>
      <c r="AF36" s="81"/>
    </row>
    <row r="37" spans="1:32" x14ac:dyDescent="0.35">
      <c r="A37" s="21">
        <v>26</v>
      </c>
      <c r="B37" s="76">
        <f>#REF!</f>
      </c>
      <c r="C37" s="77">
        <f>#REF!</f>
      </c>
      <c r="D37" s="77">
        <f>#REF!</f>
      </c>
      <c r="E37" s="77">
        <f>#REF!</f>
      </c>
      <c r="F37" s="77">
        <f>#REF!</f>
      </c>
      <c r="G37" s="77">
        <f>#REF!</f>
      </c>
      <c r="H37" s="77">
        <f>Table1[[#This Row],[Column7]]-Table1[[#This Row],[Column62]]</f>
      </c>
      <c r="I37" s="78">
        <f>#REF!</f>
      </c>
      <c r="J37" s="79"/>
      <c r="K37" s="77"/>
      <c r="L37" s="77"/>
      <c r="M37" s="77">
        <f>Table1[[#This Row],[Column7]]-Table1[[#This Row],[Column62]]*30%</f>
      </c>
      <c r="N37" s="77"/>
      <c r="O37" s="80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81"/>
      <c r="AB37" s="81"/>
      <c r="AC37" s="81"/>
      <c r="AD37" s="81"/>
      <c r="AE37" s="81"/>
      <c r="AF37" s="81"/>
    </row>
    <row r="38" spans="1:32" x14ac:dyDescent="0.35">
      <c r="A38" s="21">
        <v>27</v>
      </c>
      <c r="B38" s="76">
        <f>#REF!</f>
      </c>
      <c r="C38" s="77">
        <f>#REF!</f>
      </c>
      <c r="D38" s="77">
        <f>#REF!</f>
      </c>
      <c r="E38" s="77">
        <f>#REF!</f>
      </c>
      <c r="F38" s="77">
        <f>#REF!</f>
      </c>
      <c r="G38" s="77">
        <f>#REF!</f>
      </c>
      <c r="H38" s="77">
        <f>Table1[[#This Row],[Column7]]-Table1[[#This Row],[Column62]]</f>
      </c>
      <c r="I38" s="78">
        <f>#REF!</f>
      </c>
      <c r="J38" s="79"/>
      <c r="K38" s="77"/>
      <c r="L38" s="77"/>
      <c r="M38" s="77">
        <f>Table1[[#This Row],[Column7]]-Table1[[#This Row],[Column62]]*30%</f>
      </c>
      <c r="N38" s="77"/>
      <c r="O38" s="80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81"/>
      <c r="AB38" s="81"/>
      <c r="AC38" s="81"/>
      <c r="AD38" s="81"/>
      <c r="AE38" s="81"/>
      <c r="AF38" s="81"/>
    </row>
    <row r="39" spans="1:32" x14ac:dyDescent="0.35">
      <c r="A39" s="21">
        <v>28</v>
      </c>
      <c r="B39" s="76">
        <f>#REF!</f>
      </c>
      <c r="C39" s="77">
        <f>#REF!</f>
      </c>
      <c r="D39" s="77">
        <f>#REF!</f>
      </c>
      <c r="E39" s="77">
        <f>#REF!</f>
      </c>
      <c r="F39" s="77">
        <f>#REF!</f>
      </c>
      <c r="G39" s="77">
        <f>#REF!</f>
      </c>
      <c r="H39" s="77">
        <f>Table1[[#This Row],[Column7]]-Table1[[#This Row],[Column62]]</f>
      </c>
      <c r="I39" s="78">
        <f>#REF!</f>
      </c>
      <c r="J39" s="79"/>
      <c r="K39" s="77"/>
      <c r="L39" s="77"/>
      <c r="M39" s="77">
        <f>Table1[[#This Row],[Column7]]-Table1[[#This Row],[Column62]]*30%</f>
      </c>
      <c r="N39" s="77"/>
      <c r="O39" s="82"/>
      <c r="P39" s="83"/>
      <c r="Q39" s="83"/>
      <c r="R39" s="83">
        <v>3</v>
      </c>
      <c r="S39" s="83"/>
      <c r="T39" s="83"/>
      <c r="U39" s="83"/>
      <c r="V39" s="83"/>
      <c r="W39" s="83"/>
      <c r="X39" s="83"/>
      <c r="Y39" s="83"/>
      <c r="Z39" s="83"/>
      <c r="AA39" s="81"/>
      <c r="AB39" s="81"/>
      <c r="AC39" s="81"/>
      <c r="AD39" s="81"/>
      <c r="AE39" s="81"/>
      <c r="AF39" s="81"/>
    </row>
    <row r="40" spans="1:32" ht="15" thickBot="1" x14ac:dyDescent="0.4">
      <c r="A40" t="s" s="100">
        <v>148</v>
      </c>
      <c r="B40" s="117">
        <f>SUBTOTAL(109,B33:B39)</f>
      </c>
      <c r="C40" s="117">
        <f>SUBTOTAL(109,C33:C39)</f>
      </c>
      <c r="D40" s="117">
        <f t="shared" ref="D40:Z40" si="3">SUBTOTAL(109,D33:D39)</f>
      </c>
      <c r="E40" s="117">
        <f t="shared" si="3"/>
      </c>
      <c r="F40" s="117">
        <f t="shared" si="3"/>
      </c>
      <c r="G40" s="117">
        <f t="shared" si="3"/>
      </c>
      <c r="H40" s="117">
        <f t="shared" si="3"/>
      </c>
      <c r="I40" s="117">
        <f t="shared" si="3"/>
      </c>
      <c r="J40" s="117">
        <f t="shared" si="3"/>
      </c>
      <c r="K40" s="117">
        <f t="shared" si="3"/>
      </c>
      <c r="L40" s="117">
        <f t="shared" si="3"/>
      </c>
      <c r="M40" s="117">
        <f t="shared" si="3"/>
      </c>
      <c r="N40" s="117">
        <f t="shared" si="3"/>
      </c>
      <c r="O40" s="117">
        <f t="shared" si="3"/>
      </c>
      <c r="P40" s="117">
        <f t="shared" si="3"/>
      </c>
      <c r="Q40" s="117">
        <f t="shared" si="3"/>
      </c>
      <c r="R40" s="117">
        <f t="shared" si="3"/>
      </c>
      <c r="S40" s="117">
        <f t="shared" si="3"/>
      </c>
      <c r="T40" s="117">
        <f t="shared" si="3"/>
      </c>
      <c r="U40" s="117">
        <f t="shared" si="3"/>
      </c>
      <c r="V40" s="117">
        <f t="shared" si="3"/>
      </c>
      <c r="W40" s="117">
        <f t="shared" si="3"/>
      </c>
      <c r="X40" s="117">
        <f t="shared" si="3"/>
      </c>
      <c r="Y40" s="117">
        <f t="shared" si="3"/>
      </c>
      <c r="Z40" s="117">
        <f t="shared" si="3"/>
      </c>
      <c r="AA40" s="81"/>
      <c r="AB40" s="81"/>
      <c r="AC40" s="81"/>
      <c r="AD40" s="81"/>
      <c r="AE40" s="81"/>
      <c r="AF40" s="81"/>
    </row>
    <row r="41" spans="1:32" ht="4" customHeight="1" x14ac:dyDescent="0.35">
      <c r="A41" s="102"/>
      <c r="B41" s="103"/>
      <c r="C41" s="104"/>
      <c r="D41" s="89"/>
      <c r="E41" s="104"/>
      <c r="F41" s="89"/>
      <c r="G41" s="89"/>
      <c r="H41" s="104"/>
      <c r="I41" s="90"/>
      <c r="J41" s="91"/>
      <c r="K41" s="89"/>
      <c r="L41" s="89"/>
      <c r="M41" s="89"/>
      <c r="N41" s="90"/>
      <c r="O41" s="92"/>
      <c r="P41" s="93"/>
      <c r="Q41" s="93"/>
      <c r="R41" s="93"/>
      <c r="S41" s="93"/>
      <c r="T41" s="93"/>
      <c r="U41" s="105"/>
      <c r="V41" s="105"/>
      <c r="W41" s="105"/>
      <c r="X41" s="105"/>
      <c r="Y41" s="93"/>
      <c r="Z41" s="94"/>
      <c r="AA41" s="81"/>
      <c r="AB41" s="81"/>
      <c r="AC41" s="81"/>
      <c r="AD41" s="81"/>
      <c r="AE41" s="81"/>
      <c r="AF41" s="81"/>
    </row>
    <row r="42" spans="1:32" x14ac:dyDescent="0.35">
      <c r="A42" s="21">
        <v>29</v>
      </c>
      <c r="B42" s="76">
        <f>#REF!</f>
      </c>
      <c r="C42" s="77">
        <f>#REF!</f>
      </c>
      <c r="D42" s="77">
        <f>#REF!</f>
      </c>
      <c r="E42" s="77">
        <f>#REF!</f>
      </c>
      <c r="F42" s="77">
        <f>#REF!</f>
      </c>
      <c r="G42" s="77">
        <f>#REF!</f>
      </c>
      <c r="H42" s="77">
        <f>Table1[[#This Row],[Column7]]-Table1[[#This Row],[Column62]]</f>
      </c>
      <c r="I42" s="78">
        <f>#REF!</f>
      </c>
      <c r="J42" s="79"/>
      <c r="K42" s="77"/>
      <c r="L42" s="77"/>
      <c r="M42" s="77">
        <f>Table1[[#This Row],[Column7]]-Table1[[#This Row],[Column62]]*30%</f>
      </c>
      <c r="N42" s="77"/>
      <c r="O42" s="80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81"/>
      <c r="AB42" s="81"/>
      <c r="AC42" s="81"/>
      <c r="AD42" s="81"/>
      <c r="AE42" s="81"/>
      <c r="AF42" s="81"/>
    </row>
    <row r="43" spans="1:32" x14ac:dyDescent="0.35">
      <c r="A43" s="21">
        <v>30</v>
      </c>
      <c r="B43" s="76">
        <f>#REF!</f>
      </c>
      <c r="C43" s="13">
        <f>#REF!</f>
      </c>
      <c r="D43" s="13">
        <f>#REF!</f>
      </c>
      <c r="E43" s="13">
        <f>#REF!</f>
      </c>
      <c r="F43" s="13">
        <f>#REF!</f>
      </c>
      <c r="G43" s="13">
        <f>#REF!</f>
      </c>
      <c r="H43" s="13">
        <f>Table1[[#This Row],[Column7]]-Table1[[#This Row],[Column62]]</f>
      </c>
      <c r="I43" s="23">
        <f>#REF!</f>
      </c>
      <c r="J43" s="19"/>
      <c r="M43">
        <f>Table1[[#This Row],[Column7]]-Table1[[#This Row],[Column62]]*30%</f>
      </c>
      <c r="O43" s="71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32" x14ac:dyDescent="0.35">
      <c r="A44" s="21">
        <v>31</v>
      </c>
      <c r="B44" s="76">
        <f>#REF!</f>
      </c>
      <c r="C44" s="13">
        <f>#REF!</f>
      </c>
      <c r="D44" s="13">
        <f>#REF!</f>
      </c>
      <c r="E44" s="13">
        <f>#REF!</f>
      </c>
      <c r="F44" s="13">
        <f>#REF!</f>
      </c>
      <c r="G44" s="13">
        <f>#REF!</f>
      </c>
      <c r="H44" s="13">
        <f>Table1[[#This Row],[Column7]]-Table1[[#This Row],[Column62]]</f>
      </c>
      <c r="I44" s="23">
        <f>#REF!</f>
      </c>
      <c r="J44" s="19"/>
      <c r="M44">
        <f>Table1[[#This Row],[Column7]]-Table1[[#This Row],[Column62]]*30%</f>
      </c>
      <c r="O44" s="71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32" ht="15" thickBot="1" x14ac:dyDescent="0.4">
      <c r="A45" t="s" s="100">
        <v>149</v>
      </c>
      <c r="B45" s="117">
        <f>SUBTOTAL(109,B42:B44)</f>
      </c>
      <c r="C45" s="117">
        <f t="shared" ref="C45:Z45" si="4">SUBTOTAL(109,C42:C44)</f>
      </c>
      <c r="D45" s="117">
        <f t="shared" si="4"/>
      </c>
      <c r="E45" s="117">
        <f t="shared" si="4"/>
      </c>
      <c r="F45" s="117">
        <f t="shared" si="4"/>
      </c>
      <c r="G45" s="117">
        <f t="shared" si="4"/>
      </c>
      <c r="H45" s="117">
        <f t="shared" si="4"/>
      </c>
      <c r="I45" s="117">
        <f t="shared" si="4"/>
      </c>
      <c r="J45" s="117">
        <f t="shared" si="4"/>
      </c>
      <c r="K45" s="117">
        <f t="shared" si="4"/>
      </c>
      <c r="L45" s="117">
        <f t="shared" si="4"/>
      </c>
      <c r="M45" s="117">
        <f t="shared" si="4"/>
      </c>
      <c r="N45" s="117">
        <f t="shared" si="4"/>
      </c>
      <c r="O45" s="117">
        <f t="shared" si="4"/>
      </c>
      <c r="P45" s="117">
        <f t="shared" si="4"/>
      </c>
      <c r="Q45" s="117">
        <f t="shared" si="4"/>
      </c>
      <c r="R45" s="117">
        <f t="shared" si="4"/>
      </c>
      <c r="S45" s="117">
        <f t="shared" si="4"/>
      </c>
      <c r="T45" s="117">
        <f t="shared" si="4"/>
      </c>
      <c r="U45" s="117">
        <f t="shared" si="4"/>
      </c>
      <c r="V45" s="117">
        <f t="shared" si="4"/>
      </c>
      <c r="W45" s="117">
        <f t="shared" si="4"/>
      </c>
      <c r="X45" s="117">
        <f t="shared" si="4"/>
      </c>
      <c r="Y45" s="117">
        <f t="shared" si="4"/>
      </c>
      <c r="Z45" s="117">
        <f t="shared" si="4"/>
      </c>
    </row>
    <row r="46" spans="1:32" ht="4.5" customHeight="1" x14ac:dyDescent="0.3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8" spans="1:32" x14ac:dyDescent="0.35">
      <c r="B48" s="81">
        <f>B34+B35+B36+B38+B39+B42</f>
      </c>
      <c r="C48" s="81">
        <f>C34+C35+C36+C38+C39+C42</f>
      </c>
      <c r="D48" s="81">
        <f t="shared" ref="D48:I48" si="5">D13+D22+D31+D40+D45</f>
      </c>
      <c r="E48" s="81">
        <f>E34+E35+E36+E38+E39+E42</f>
      </c>
      <c r="F48" s="81">
        <f>F34+F35+F38+F39+F42</f>
      </c>
      <c r="G48" s="81">
        <f t="shared" si="5"/>
      </c>
      <c r="H48" s="81">
        <f t="shared" si="5"/>
      </c>
      <c r="I48" s="81">
        <f t="shared" si="5"/>
      </c>
    </row>
    <row r="49" spans="2:4" x14ac:dyDescent="0.35">
      <c r="B49" s="81">
        <v>1463559.79</v>
      </c>
      <c r="D49" s="81">
        <v>2613</v>
      </c>
    </row>
    <row r="50" spans="2:4" x14ac:dyDescent="0.35">
      <c r="B50" s="81">
        <f>SUM(B48:B49)</f>
      </c>
      <c r="D50" s="81">
        <f>SUM(D47:D49)</f>
      </c>
    </row>
  </sheetData>
  <mergeCells count="3">
    <mergeCell ref="B2:I2"/>
    <mergeCell ref="J2:N2"/>
    <mergeCell ref="O2:Z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F035-CC5C-4670-9991-779D89A4B9A7}">
  <sheetPr codeName="Sheet6"/>
  <sheetViews>
    <sheetView topLeftCell="A2" workbookViewId="0">
      <selection activeCell="L20" sqref="L20"/>
    </sheetView>
  </sheetViews>
  <sheetFormatPr defaultColWidth="8.7265625" defaultRowHeight="14.5" x14ac:dyDescent="0.35"/>
  <cols>
    <col min="1" max="16384" width="8.7265625" style="67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1D29-5EF3-4219-9680-1DB2794FB9A7}">
  <sheetPr codeName="Sheet7"/>
  <sheetViews>
    <sheetView workbookViewId="0">
      <selection activeCell="L20" sqref="L20"/>
    </sheetView>
  </sheetViews>
  <sheetFormatPr defaultColWidth="9.1796875" defaultRowHeight="14.5" x14ac:dyDescent="0.35"/>
  <cols>
    <col min="1" max="1" width="5" customWidth="1"/>
    <col min="2" max="2" width="3.81640625" customWidth="1"/>
    <col min="3" max="3" width="9.7265625" customWidth="1"/>
    <col min="4" max="4" width="9.54296875" customWidth="1"/>
    <col min="5" max="5" width="7.54296875" customWidth="1"/>
    <col min="6" max="6" width="10.54296875" customWidth="1"/>
    <col min="7" max="7" width="10.453125" customWidth="1"/>
    <col min="8" max="8" width="8" customWidth="1"/>
    <col min="9" max="9" width="9.81640625" customWidth="1"/>
    <col min="10" max="10" width="11.54296875" customWidth="1"/>
  </cols>
  <sheetData>
    <row r="2" spans="1:12" x14ac:dyDescent="0.35">
      <c r="A2" s="128"/>
      <c r="B2" t="s" s="127">
        <v>143</v>
      </c>
      <c r="C2" t="s" s="371">
        <v>2</v>
      </c>
      <c r="D2" s="371"/>
      <c r="E2" s="128"/>
      <c r="F2" t="s" s="371">
        <v>2</v>
      </c>
      <c r="G2" s="371"/>
      <c r="H2" s="128"/>
      <c r="I2" t="s" s="371">
        <v>2</v>
      </c>
      <c r="J2" s="371"/>
      <c r="K2" s="128"/>
    </row>
    <row r="3" spans="1:12" s="44" customFormat="1" ht="10.5" x14ac:dyDescent="0.25">
      <c r="A3" s="131"/>
      <c r="B3" s="131"/>
      <c r="C3" t="s" s="129">
        <v>139</v>
      </c>
      <c r="D3" t="s" s="129">
        <v>142</v>
      </c>
      <c r="E3" t="s" s="129">
        <v>144</v>
      </c>
      <c r="F3" t="s" s="129">
        <v>140</v>
      </c>
      <c r="G3" t="s" s="129">
        <v>142</v>
      </c>
      <c r="H3" t="s" s="129">
        <v>144</v>
      </c>
      <c r="I3" t="s" s="129">
        <v>141</v>
      </c>
      <c r="J3" t="s" s="129">
        <v>142</v>
      </c>
      <c r="K3" t="s" s="129">
        <v>144</v>
      </c>
    </row>
    <row r="4" spans="1:12" x14ac:dyDescent="0.35">
      <c r="B4">
        <v>1</v>
      </c>
      <c r="C4" s="81">
        <f>'1'!D9</f>
      </c>
      <c r="D4" s="81">
        <f>'1'!E10</f>
      </c>
      <c r="E4" s="81">
        <f>'1'!G10</f>
      </c>
      <c r="F4" s="130">
        <f>'1'!D11</f>
      </c>
      <c r="G4" s="130">
        <f>'1'!E12</f>
      </c>
      <c r="H4" s="130">
        <f>'1'!G12</f>
      </c>
      <c r="I4" s="84">
        <f>'1'!D13</f>
      </c>
      <c r="J4" s="81">
        <f>'1'!E14</f>
      </c>
      <c r="K4" s="81">
        <f>'1'!G14</f>
      </c>
      <c r="L4" s="81"/>
    </row>
    <row r="5" spans="1:12" x14ac:dyDescent="0.35">
      <c r="B5">
        <v>2</v>
      </c>
      <c r="C5" s="81">
        <f>#REF!</f>
      </c>
      <c r="D5" s="81">
        <f>#REF!</f>
      </c>
      <c r="E5" s="81">
        <f>#REF!</f>
      </c>
      <c r="F5" s="130">
        <f>#REF!</f>
      </c>
      <c r="G5" s="130">
        <f>#REF!</f>
      </c>
      <c r="H5" s="130">
        <f>#REF!</f>
      </c>
      <c r="I5" s="84">
        <f>#REF!</f>
      </c>
      <c r="J5" s="81">
        <f>#REF!</f>
      </c>
      <c r="K5" s="81">
        <f>#REF!</f>
      </c>
      <c r="L5" s="81"/>
    </row>
    <row r="6" spans="1:12" x14ac:dyDescent="0.35">
      <c r="B6">
        <v>3</v>
      </c>
      <c r="C6" s="81">
        <f>#REF!</f>
      </c>
      <c r="D6" s="81">
        <f>#REF!</f>
      </c>
      <c r="E6" s="81">
        <f>#REF!</f>
      </c>
      <c r="F6" s="130">
        <f>#REF!</f>
      </c>
      <c r="G6" s="130">
        <f>#REF!</f>
      </c>
      <c r="H6" s="130">
        <f>#REF!</f>
      </c>
      <c r="I6" s="84">
        <f>#REF!</f>
      </c>
      <c r="J6" s="81">
        <f>#REF!</f>
      </c>
      <c r="K6" s="81">
        <f>#REF!</f>
      </c>
      <c r="L6" s="81"/>
    </row>
    <row r="7" spans="1:12" x14ac:dyDescent="0.35">
      <c r="B7">
        <v>4</v>
      </c>
      <c r="C7" s="81">
        <f>#REF!</f>
      </c>
      <c r="D7" s="81">
        <f>#REF!</f>
      </c>
      <c r="E7" s="81">
        <f>#REF!</f>
      </c>
      <c r="F7" s="130">
        <f>#REF!</f>
      </c>
      <c r="G7" s="130">
        <f>#REF!</f>
      </c>
      <c r="H7" s="130">
        <f>#REF!</f>
      </c>
      <c r="I7" s="84">
        <f>#REF!</f>
      </c>
      <c r="J7" s="81">
        <f>#REF!</f>
      </c>
      <c r="K7" s="81">
        <f>#REF!</f>
      </c>
      <c r="L7" s="81"/>
    </row>
    <row r="8" spans="1:12" x14ac:dyDescent="0.35">
      <c r="B8">
        <v>5</v>
      </c>
      <c r="C8" s="81">
        <f>#REF!</f>
      </c>
      <c r="D8" s="81">
        <f>#REF!</f>
      </c>
      <c r="E8" s="81">
        <f>#REF!</f>
      </c>
      <c r="F8" s="130">
        <f>#REF!</f>
      </c>
      <c r="G8" s="130">
        <f>#REF!</f>
      </c>
      <c r="H8" s="130">
        <f>#REF!</f>
      </c>
      <c r="I8" s="84">
        <f>#REF!</f>
      </c>
      <c r="J8" s="81">
        <f>#REF!</f>
      </c>
      <c r="K8" s="81">
        <f>#REF!</f>
      </c>
      <c r="L8" s="81"/>
    </row>
    <row r="9" spans="1:12" x14ac:dyDescent="0.35">
      <c r="B9">
        <v>6</v>
      </c>
      <c r="C9" s="81">
        <f>#REF!</f>
      </c>
      <c r="D9" s="81">
        <f>#REF!</f>
      </c>
      <c r="E9" s="81">
        <f>#REF!</f>
      </c>
      <c r="F9" s="130">
        <f>#REF!</f>
      </c>
      <c r="G9" s="130">
        <f>#REF!</f>
      </c>
      <c r="H9" s="130">
        <f>#REF!</f>
      </c>
      <c r="I9" s="84">
        <f>#REF!</f>
      </c>
      <c r="J9" s="81">
        <f>#REF!</f>
      </c>
      <c r="K9" s="81">
        <f>#REF!</f>
      </c>
      <c r="L9" s="81"/>
    </row>
    <row r="10" spans="1:12" x14ac:dyDescent="0.35">
      <c r="B10">
        <v>7</v>
      </c>
      <c r="C10" s="81">
        <f>#REF!</f>
      </c>
      <c r="D10" s="81">
        <f>#REF!</f>
      </c>
      <c r="E10" s="81">
        <f>#REF!</f>
      </c>
      <c r="F10" s="130">
        <f>#REF!</f>
      </c>
      <c r="G10" s="130">
        <f>#REF!</f>
      </c>
      <c r="H10" s="130">
        <f>#REF!</f>
      </c>
      <c r="I10" s="84">
        <f>#REF!</f>
      </c>
      <c r="J10" s="81">
        <f>#REF!</f>
      </c>
      <c r="K10" s="81">
        <f>#REF!</f>
      </c>
      <c r="L10" s="81"/>
    </row>
    <row r="11" spans="1:12" x14ac:dyDescent="0.35">
      <c r="A11" t="s" s="121">
        <v>138</v>
      </c>
      <c r="B11" t="s" s="132">
        <v>145</v>
      </c>
      <c r="C11" s="122">
        <f t="shared" ref="C11:K11" si="0">SUM(C4:C10)</f>
      </c>
      <c r="D11" s="122">
        <f t="shared" si="0"/>
      </c>
      <c r="E11" s="122">
        <f t="shared" si="0"/>
      </c>
      <c r="F11" s="122">
        <f t="shared" si="0"/>
      </c>
      <c r="G11" s="122">
        <f t="shared" si="0"/>
      </c>
      <c r="H11" s="122">
        <f t="shared" si="0"/>
      </c>
      <c r="I11" s="122">
        <f t="shared" si="0"/>
      </c>
      <c r="J11" s="122">
        <f t="shared" si="0"/>
      </c>
      <c r="K11" s="122">
        <f t="shared" si="0"/>
      </c>
      <c r="L11" s="81"/>
    </row>
    <row r="12" spans="1:12" x14ac:dyDescent="0.35">
      <c r="B12">
        <f>B10+1</f>
      </c>
      <c r="C12" s="81">
        <f>#REF!</f>
      </c>
      <c r="D12" s="81">
        <f>#REF!</f>
      </c>
      <c r="E12" s="81">
        <f>#REF!</f>
      </c>
      <c r="F12" s="130">
        <f>#REF!</f>
      </c>
      <c r="G12" s="130">
        <f>#REF!</f>
      </c>
      <c r="H12" s="130">
        <f>#REF!</f>
      </c>
      <c r="I12" s="84">
        <f>#REF!</f>
      </c>
      <c r="J12" s="81">
        <f>#REF!</f>
      </c>
      <c r="K12" s="81">
        <f>#REF!</f>
      </c>
      <c r="L12" s="81"/>
    </row>
    <row r="13" spans="1:12" x14ac:dyDescent="0.35">
      <c r="B13">
        <f t="shared" ref="B13:B38" si="1">B12+1</f>
      </c>
      <c r="C13" s="81">
        <f>#REF!</f>
      </c>
      <c r="D13" s="81">
        <f>#REF!</f>
      </c>
      <c r="E13" s="81">
        <f>#REF!</f>
      </c>
      <c r="F13" s="130">
        <f>#REF!</f>
      </c>
      <c r="G13" s="130">
        <f>#REF!</f>
      </c>
      <c r="H13" s="130">
        <f>#REF!</f>
      </c>
      <c r="I13" s="84">
        <f>#REF!</f>
      </c>
      <c r="J13" s="81">
        <f>#REF!</f>
      </c>
      <c r="K13" s="81">
        <f>#REF!</f>
      </c>
      <c r="L13" s="81"/>
    </row>
    <row r="14" spans="1:12" x14ac:dyDescent="0.35">
      <c r="B14">
        <f t="shared" si="1"/>
      </c>
      <c r="C14" s="81">
        <f>#REF!</f>
      </c>
      <c r="D14" s="81">
        <f>#REF!</f>
      </c>
      <c r="E14" s="81">
        <f>#REF!</f>
      </c>
      <c r="F14" s="130">
        <f>#REF!</f>
      </c>
      <c r="G14" s="130">
        <f>#REF!</f>
      </c>
      <c r="H14" s="130">
        <f>#REF!</f>
      </c>
      <c r="I14" s="84">
        <f>#REF!</f>
      </c>
      <c r="J14" s="81">
        <f>#REF!</f>
      </c>
      <c r="K14" s="81">
        <f>#REF!</f>
      </c>
      <c r="L14" s="81"/>
    </row>
    <row r="15" spans="1:12" x14ac:dyDescent="0.35">
      <c r="B15">
        <f t="shared" si="1"/>
      </c>
      <c r="C15" s="81">
        <f>#REF!</f>
      </c>
      <c r="D15" s="81">
        <f>#REF!</f>
      </c>
      <c r="E15" s="81">
        <f>#REF!</f>
      </c>
      <c r="F15" s="130">
        <f>#REF!</f>
      </c>
      <c r="G15" s="130">
        <f>#REF!</f>
      </c>
      <c r="H15" s="130">
        <f>#REF!</f>
      </c>
      <c r="I15" s="84">
        <f>#REF!</f>
      </c>
      <c r="J15" s="81">
        <f>#REF!</f>
      </c>
      <c r="K15" s="81">
        <f>#REF!</f>
      </c>
      <c r="L15" s="81"/>
    </row>
    <row r="16" spans="1:12" x14ac:dyDescent="0.35">
      <c r="B16">
        <f t="shared" si="1"/>
      </c>
      <c r="C16" s="81">
        <f>#REF!</f>
      </c>
      <c r="D16" s="81">
        <f>#REF!</f>
      </c>
      <c r="E16" s="81">
        <f>#REF!</f>
      </c>
      <c r="F16" s="130">
        <f>#REF!</f>
      </c>
      <c r="G16" s="130">
        <f>#REF!</f>
      </c>
      <c r="H16" s="130">
        <f>#REF!</f>
      </c>
      <c r="I16" s="84">
        <f>#REF!</f>
      </c>
      <c r="J16" s="81">
        <f>#REF!</f>
      </c>
      <c r="K16" s="81">
        <f>#REF!</f>
      </c>
      <c r="L16" s="81"/>
    </row>
    <row r="17" spans="1:12" x14ac:dyDescent="0.35">
      <c r="B17">
        <f t="shared" si="1"/>
      </c>
      <c r="C17" s="81">
        <f>#REF!</f>
      </c>
      <c r="D17" s="81">
        <f>#REF!</f>
      </c>
      <c r="E17" s="81">
        <f>#REF!</f>
      </c>
      <c r="F17" s="130">
        <f>#REF!</f>
      </c>
      <c r="G17" s="130">
        <f>#REF!</f>
      </c>
      <c r="H17" s="130">
        <f>#REF!</f>
      </c>
      <c r="I17" s="84">
        <f>#REF!</f>
      </c>
      <c r="J17" s="81">
        <f>#REF!</f>
      </c>
      <c r="K17" s="81">
        <f>#REF!</f>
      </c>
      <c r="L17" s="81"/>
    </row>
    <row r="18" spans="1:12" x14ac:dyDescent="0.35">
      <c r="B18">
        <f t="shared" si="1"/>
      </c>
      <c r="C18" s="81">
        <f>#REF!</f>
      </c>
      <c r="D18" s="81">
        <f>#REF!</f>
      </c>
      <c r="E18" s="81">
        <f>#REF!</f>
      </c>
      <c r="F18" s="130">
        <f>#REF!</f>
      </c>
      <c r="G18" s="130">
        <f>#REF!</f>
      </c>
      <c r="H18" s="130">
        <f>#REF!</f>
      </c>
      <c r="I18" s="84">
        <f>#REF!</f>
      </c>
      <c r="J18" s="81">
        <f>#REF!</f>
      </c>
      <c r="K18" s="81">
        <f>#REF!</f>
      </c>
      <c r="L18" s="81"/>
    </row>
    <row r="19" spans="1:12" x14ac:dyDescent="0.35">
      <c r="A19" t="s" s="121">
        <v>138</v>
      </c>
      <c r="B19" t="s" s="132">
        <v>146</v>
      </c>
      <c r="C19" s="122">
        <f>SUM(C12:C18)</f>
      </c>
      <c r="D19" s="122">
        <f>SUM(D12:D18)</f>
      </c>
      <c r="E19" s="122">
        <f>SUM(E12:E18)</f>
      </c>
      <c r="F19" s="122">
        <f t="shared" ref="F19:K19" si="2">SUM(F12:F18)</f>
      </c>
      <c r="G19" s="122">
        <f t="shared" si="2"/>
      </c>
      <c r="H19" s="122">
        <f t="shared" si="2"/>
      </c>
      <c r="I19" s="122">
        <f t="shared" si="2"/>
      </c>
      <c r="J19" s="122">
        <f>SUM(J12:J18)</f>
      </c>
      <c r="K19" s="122">
        <f t="shared" si="2"/>
      </c>
      <c r="L19" s="81"/>
    </row>
    <row r="20" spans="1:12" x14ac:dyDescent="0.35">
      <c r="B20">
        <f>B18+1</f>
      </c>
      <c r="C20" s="81">
        <f>#REF!</f>
      </c>
      <c r="D20" s="81">
        <f>#REF!</f>
      </c>
      <c r="E20" s="81">
        <f>#REF!</f>
      </c>
      <c r="F20" s="130">
        <f>#REF!</f>
      </c>
      <c r="G20" s="130">
        <f>#REF!</f>
      </c>
      <c r="H20" s="130">
        <f>#REF!</f>
      </c>
      <c r="I20" s="84">
        <f>#REF!</f>
      </c>
      <c r="J20" s="81">
        <f>#REF!</f>
      </c>
      <c r="K20" s="81">
        <f>#REF!</f>
      </c>
      <c r="L20" s="81"/>
    </row>
    <row r="21" spans="1:12" x14ac:dyDescent="0.35">
      <c r="B21">
        <f t="shared" si="1"/>
      </c>
      <c r="C21" s="81">
        <f>#REF!</f>
      </c>
      <c r="D21" s="81">
        <f>#REF!</f>
      </c>
      <c r="E21" s="81">
        <f>#REF!</f>
      </c>
      <c r="F21" s="130">
        <f>#REF!</f>
      </c>
      <c r="G21" s="130">
        <f>#REF!</f>
      </c>
      <c r="H21" s="130">
        <f>#REF!</f>
      </c>
      <c r="I21" s="84">
        <f>#REF!</f>
      </c>
      <c r="J21" s="81">
        <f>#REF!</f>
      </c>
      <c r="K21" s="81">
        <f>#REF!</f>
      </c>
      <c r="L21" s="81"/>
    </row>
    <row r="22" spans="1:12" x14ac:dyDescent="0.35">
      <c r="B22">
        <f t="shared" si="1"/>
      </c>
      <c r="C22" s="81">
        <f>#REF!</f>
      </c>
      <c r="D22" s="81">
        <f>#REF!</f>
      </c>
      <c r="E22" s="81">
        <f>#REF!</f>
      </c>
      <c r="F22" s="130">
        <f>#REF!</f>
      </c>
      <c r="G22" s="130">
        <f>#REF!</f>
      </c>
      <c r="H22" s="130">
        <f>#REF!</f>
      </c>
      <c r="I22" s="84">
        <f>#REF!</f>
      </c>
      <c r="J22" s="81">
        <f>#REF!</f>
      </c>
      <c r="K22" s="81">
        <f>#REF!</f>
      </c>
      <c r="L22" s="81"/>
    </row>
    <row r="23" spans="1:12" x14ac:dyDescent="0.35">
      <c r="B23">
        <f t="shared" si="1"/>
      </c>
      <c r="C23" s="81">
        <f>#REF!</f>
      </c>
      <c r="D23" s="81">
        <f>#REF!</f>
      </c>
      <c r="E23" s="81">
        <f>#REF!</f>
      </c>
      <c r="F23" s="130">
        <f>#REF!</f>
      </c>
      <c r="G23" s="130">
        <f>#REF!</f>
      </c>
      <c r="H23" s="130">
        <f>#REF!</f>
      </c>
      <c r="I23" s="84">
        <f>#REF!</f>
      </c>
      <c r="J23" s="81">
        <f>#REF!</f>
      </c>
      <c r="K23" s="81">
        <f>#REF!</f>
      </c>
      <c r="L23" s="81"/>
    </row>
    <row r="24" spans="1:12" x14ac:dyDescent="0.35">
      <c r="B24">
        <f t="shared" si="1"/>
      </c>
      <c r="C24" s="81">
        <f>#REF!</f>
      </c>
      <c r="D24" s="81">
        <f>#REF!</f>
      </c>
      <c r="E24" s="81">
        <f>#REF!</f>
      </c>
      <c r="F24" s="130">
        <f>#REF!</f>
      </c>
      <c r="G24" s="130">
        <f>#REF!</f>
      </c>
      <c r="H24" s="130">
        <f>#REF!</f>
      </c>
      <c r="I24" s="84">
        <f>#REF!</f>
      </c>
      <c r="J24" s="81">
        <f>#REF!</f>
      </c>
      <c r="K24" s="81">
        <f>#REF!</f>
      </c>
      <c r="L24" s="81"/>
    </row>
    <row r="25" spans="1:12" x14ac:dyDescent="0.35">
      <c r="B25">
        <f>B24+1</f>
      </c>
      <c r="C25" s="81">
        <f>#REF!</f>
      </c>
      <c r="D25" s="81">
        <f>#REF!</f>
      </c>
      <c r="E25" s="81">
        <f>#REF!</f>
      </c>
      <c r="F25" s="130">
        <f>#REF!</f>
      </c>
      <c r="G25" s="130">
        <f>#REF!</f>
      </c>
      <c r="H25" s="130">
        <f>#REF!</f>
      </c>
      <c r="I25" s="84">
        <f>#REF!</f>
      </c>
      <c r="J25" s="81">
        <f>#REF!</f>
      </c>
      <c r="K25" s="81">
        <f>#REF!</f>
      </c>
      <c r="L25" s="81"/>
    </row>
    <row r="26" spans="1:12" x14ac:dyDescent="0.35">
      <c r="B26">
        <f t="shared" si="1"/>
      </c>
      <c r="C26" s="81">
        <f>#REF!</f>
      </c>
      <c r="D26" s="81">
        <f>#REF!</f>
      </c>
      <c r="E26" s="81">
        <f>#REF!</f>
      </c>
      <c r="F26" s="130">
        <f>#REF!</f>
      </c>
      <c r="G26" s="130">
        <f>#REF!</f>
      </c>
      <c r="H26" s="130">
        <f>#REF!</f>
      </c>
      <c r="I26" s="84">
        <f>#REF!</f>
      </c>
      <c r="J26" s="81">
        <f>#REF!</f>
      </c>
      <c r="K26" s="81">
        <f>#REF!</f>
      </c>
      <c r="L26" s="81"/>
    </row>
    <row r="27" spans="1:12" x14ac:dyDescent="0.35">
      <c r="A27" t="s" s="121">
        <v>138</v>
      </c>
      <c r="B27" t="s" s="132">
        <v>147</v>
      </c>
      <c r="C27" s="122">
        <f>SUM(C20:C26)</f>
      </c>
      <c r="D27" s="122">
        <f t="shared" ref="D27:K27" si="3">SUM(D20:D26)</f>
      </c>
      <c r="E27" s="122">
        <f>SUM(E20:E26)</f>
      </c>
      <c r="F27" s="122">
        <f t="shared" si="3"/>
      </c>
      <c r="G27" s="122">
        <f t="shared" si="3"/>
      </c>
      <c r="H27" s="122">
        <f t="shared" si="3"/>
      </c>
      <c r="I27" s="122">
        <f t="shared" si="3"/>
      </c>
      <c r="J27" s="122">
        <f t="shared" si="3"/>
      </c>
      <c r="K27" s="122">
        <f t="shared" si="3"/>
      </c>
      <c r="L27" s="81"/>
    </row>
    <row r="28" spans="1:12" x14ac:dyDescent="0.35">
      <c r="B28">
        <f>B26+1</f>
      </c>
      <c r="C28" s="81">
        <f>#REF!</f>
      </c>
      <c r="D28" s="81">
        <f>#REF!</f>
      </c>
      <c r="E28" s="81">
        <f>#REF!</f>
      </c>
      <c r="F28" s="130">
        <f>#REF!</f>
      </c>
      <c r="G28" s="130">
        <f>#REF!</f>
      </c>
      <c r="H28" s="130">
        <f>#REF!</f>
      </c>
      <c r="I28" s="84">
        <f>#REF!</f>
      </c>
      <c r="J28" s="81">
        <f>#REF!</f>
      </c>
      <c r="K28" s="81">
        <f>#REF!</f>
      </c>
      <c r="L28" s="81"/>
    </row>
    <row r="29" spans="1:12" x14ac:dyDescent="0.35">
      <c r="B29">
        <f t="shared" si="1"/>
      </c>
      <c r="C29" s="81">
        <f>#REF!</f>
      </c>
      <c r="D29" s="81">
        <f>#REF!</f>
      </c>
      <c r="E29" s="81">
        <f>#REF!</f>
      </c>
      <c r="F29" s="130">
        <f>#REF!</f>
      </c>
      <c r="G29" s="130">
        <f>#REF!</f>
      </c>
      <c r="H29" s="130">
        <f>#REF!</f>
      </c>
      <c r="I29" s="84">
        <f>#REF!</f>
      </c>
      <c r="J29" s="81">
        <f>#REF!</f>
      </c>
      <c r="K29" s="81">
        <f>#REF!</f>
      </c>
      <c r="L29" s="81"/>
    </row>
    <row r="30" spans="1:12" x14ac:dyDescent="0.35">
      <c r="B30">
        <f t="shared" si="1"/>
      </c>
      <c r="C30" s="81">
        <f>#REF!</f>
      </c>
      <c r="D30" s="81">
        <f>#REF!</f>
      </c>
      <c r="E30" s="81">
        <f>#REF!</f>
      </c>
      <c r="F30" s="130">
        <f>#REF!</f>
      </c>
      <c r="G30" s="130">
        <f>#REF!</f>
      </c>
      <c r="H30" s="130">
        <f>#REF!</f>
      </c>
      <c r="I30" s="84">
        <f>#REF!</f>
      </c>
      <c r="J30" s="81">
        <f>#REF!</f>
      </c>
      <c r="K30" s="81">
        <f>#REF!</f>
      </c>
      <c r="L30" s="81"/>
    </row>
    <row r="31" spans="1:12" x14ac:dyDescent="0.35">
      <c r="B31">
        <f>B30+1</f>
      </c>
      <c r="C31" s="81">
        <f>#REF!</f>
      </c>
      <c r="D31" s="81">
        <f>#REF!</f>
      </c>
      <c r="E31" s="81">
        <f>#REF!</f>
      </c>
      <c r="F31" s="130">
        <f>#REF!</f>
      </c>
      <c r="G31" s="130">
        <f>#REF!</f>
      </c>
      <c r="H31" s="130">
        <f>#REF!</f>
      </c>
      <c r="I31" s="84">
        <f>#REF!</f>
      </c>
      <c r="J31" s="81">
        <f>#REF!</f>
      </c>
      <c r="K31" s="81">
        <f>#REF!</f>
      </c>
      <c r="L31" s="81"/>
    </row>
    <row r="32" spans="1:12" x14ac:dyDescent="0.35">
      <c r="B32">
        <f t="shared" si="1"/>
      </c>
      <c r="C32" s="81">
        <f>#REF!</f>
      </c>
      <c r="D32" s="81">
        <f>#REF!</f>
      </c>
      <c r="E32" s="81">
        <f>#REF!</f>
      </c>
      <c r="F32" s="130">
        <f>#REF!</f>
      </c>
      <c r="G32" s="130">
        <f>#REF!</f>
      </c>
      <c r="H32" s="130">
        <f>#REF!</f>
      </c>
      <c r="I32" s="84">
        <f>#REF!</f>
      </c>
      <c r="J32" s="81">
        <f>#REF!</f>
      </c>
      <c r="K32" s="81">
        <f>#REF!</f>
      </c>
      <c r="L32" s="81"/>
    </row>
    <row r="33" spans="1:12" x14ac:dyDescent="0.35">
      <c r="B33">
        <f t="shared" si="1"/>
      </c>
      <c r="C33" s="81">
        <f>#REF!</f>
      </c>
      <c r="D33" s="81">
        <f>#REF!</f>
      </c>
      <c r="E33" s="81">
        <f>#REF!</f>
      </c>
      <c r="F33" s="130">
        <f>#REF!</f>
      </c>
      <c r="G33" s="130">
        <f>#REF!</f>
      </c>
      <c r="H33" s="130">
        <f>#REF!</f>
      </c>
      <c r="I33" s="84">
        <f>#REF!</f>
      </c>
      <c r="J33" s="81">
        <f>#REF!</f>
      </c>
      <c r="K33" s="81">
        <f>#REF!</f>
      </c>
      <c r="L33" s="81"/>
    </row>
    <row r="34" spans="1:12" x14ac:dyDescent="0.35">
      <c r="B34">
        <f t="shared" si="1"/>
      </c>
      <c r="C34" s="81">
        <f>#REF!</f>
      </c>
      <c r="D34" s="81">
        <f>#REF!</f>
      </c>
      <c r="E34" s="81">
        <f>#REF!</f>
      </c>
      <c r="F34" s="130">
        <f>#REF!</f>
      </c>
      <c r="G34" s="130">
        <f>#REF!</f>
      </c>
      <c r="H34" s="130">
        <f>#REF!</f>
      </c>
      <c r="I34" s="84">
        <f>#REF!</f>
      </c>
      <c r="J34" s="81">
        <f>#REF!</f>
      </c>
      <c r="K34" s="81">
        <f>#REF!</f>
      </c>
      <c r="L34" s="81"/>
    </row>
    <row r="35" spans="1:12" x14ac:dyDescent="0.35">
      <c r="A35" t="s" s="121">
        <v>138</v>
      </c>
      <c r="B35" t="s" s="132">
        <v>148</v>
      </c>
      <c r="C35" s="122">
        <f t="shared" ref="C35:H35" si="4">SUM(C28:C34)</f>
      </c>
      <c r="D35" s="122">
        <f t="shared" si="4"/>
      </c>
      <c r="E35" s="122">
        <f t="shared" si="4"/>
      </c>
      <c r="F35" s="122">
        <f t="shared" si="4"/>
      </c>
      <c r="G35" s="122">
        <f t="shared" si="4"/>
      </c>
      <c r="H35" s="122">
        <f t="shared" si="4"/>
      </c>
      <c r="I35" s="122">
        <f>SUM(I28:I34)</f>
      </c>
      <c r="J35" s="122">
        <f>SUM(J28:J34)</f>
      </c>
      <c r="K35" s="122">
        <f>SUM(K28:K34)</f>
      </c>
      <c r="L35" s="81"/>
    </row>
    <row r="36" spans="1:12" x14ac:dyDescent="0.35">
      <c r="B36">
        <f>B34+1</f>
      </c>
      <c r="C36" s="81">
        <f>#REF!</f>
      </c>
      <c r="D36" s="81">
        <f>#REF!</f>
      </c>
      <c r="E36" s="81">
        <f>#REF!</f>
      </c>
      <c r="F36" s="130">
        <f>#REF!</f>
      </c>
      <c r="G36" s="130">
        <f>#REF!</f>
      </c>
      <c r="H36" s="130">
        <f>#REF!</f>
      </c>
      <c r="I36" s="84">
        <f>#REF!</f>
      </c>
      <c r="J36" s="81">
        <f>#REF!</f>
      </c>
      <c r="K36" s="81">
        <f>#REF!</f>
      </c>
      <c r="L36" s="81"/>
    </row>
    <row r="37" spans="1:12" x14ac:dyDescent="0.35">
      <c r="B37">
        <f t="shared" si="1"/>
      </c>
      <c r="C37" s="81">
        <f>#REF!</f>
      </c>
      <c r="D37" s="81">
        <f>#REF!</f>
      </c>
      <c r="E37" s="81">
        <f>#REF!</f>
      </c>
      <c r="F37" s="130">
        <f>#REF!</f>
      </c>
      <c r="G37" s="130">
        <f>#REF!</f>
      </c>
      <c r="H37" s="130">
        <f>#REF!</f>
      </c>
      <c r="I37" s="84">
        <f>#REF!</f>
      </c>
      <c r="J37" s="81">
        <f>#REF!</f>
      </c>
      <c r="K37" s="81">
        <f>#REF!</f>
      </c>
      <c r="L37" s="81"/>
    </row>
    <row r="38" spans="1:12" x14ac:dyDescent="0.35">
      <c r="B38">
        <f t="shared" si="1"/>
      </c>
      <c r="C38" s="81">
        <f>#REF!</f>
      </c>
      <c r="D38" s="81">
        <f>#REF!</f>
      </c>
      <c r="E38" s="81">
        <f>#REF!</f>
      </c>
      <c r="F38" s="130">
        <f>#REF!</f>
      </c>
      <c r="G38" s="130">
        <f>#REF!</f>
      </c>
      <c r="H38" s="130">
        <f>#REF!</f>
      </c>
      <c r="I38" s="84">
        <f>#REF!</f>
      </c>
      <c r="J38" s="81">
        <f>#REF!</f>
      </c>
      <c r="K38" s="81">
        <f>#REF!</f>
      </c>
      <c r="L38" s="81"/>
    </row>
    <row r="39" spans="1:12" ht="13" customHeight="1" x14ac:dyDescent="0.35">
      <c r="A39" s="123"/>
      <c r="B39" s="123"/>
      <c r="C39" s="124">
        <f t="shared" ref="C39:H39" si="5">SUM(C36:C38)</f>
      </c>
      <c r="D39" s="124">
        <f t="shared" si="5"/>
      </c>
      <c r="E39" s="124">
        <f t="shared" si="5"/>
      </c>
      <c r="F39" s="124">
        <f t="shared" si="5"/>
      </c>
      <c r="G39" s="124">
        <f t="shared" si="5"/>
      </c>
      <c r="H39" s="124">
        <f t="shared" si="5"/>
      </c>
      <c r="I39" s="124">
        <f>SUM(I36:I38)</f>
      </c>
      <c r="J39" s="124">
        <f>SUM(J36:J38)</f>
      </c>
      <c r="K39" s="124">
        <f>SUM(K36:K38)</f>
      </c>
      <c r="L39" s="81"/>
    </row>
    <row r="40" spans="1:12" x14ac:dyDescent="0.35">
      <c r="A40" s="37"/>
      <c r="B40" t="s" s="126">
        <v>138</v>
      </c>
      <c r="C40" s="125">
        <f t="shared" ref="C40:K40" si="6">C11+C19+C27+C39</f>
      </c>
      <c r="D40" s="125">
        <f t="shared" si="6"/>
      </c>
      <c r="E40" s="125">
        <f t="shared" si="6"/>
      </c>
      <c r="F40" s="125">
        <f t="shared" si="6"/>
      </c>
      <c r="G40" s="125">
        <f t="shared" si="6"/>
      </c>
      <c r="H40" s="125">
        <f t="shared" si="6"/>
      </c>
      <c r="I40" s="125">
        <f t="shared" si="6"/>
      </c>
      <c r="J40" s="125">
        <f t="shared" si="6"/>
      </c>
      <c r="K40" s="125">
        <f t="shared" si="6"/>
      </c>
    </row>
  </sheetData>
  <mergeCells count="3">
    <mergeCell ref="C2:D2"/>
    <mergeCell ref="F2:G2"/>
    <mergeCell ref="I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99A1-4B8D-4A54-85EF-BBC6CD68B9A7}">
  <sheetPr codeName="Sheet8"/>
  <sheetViews>
    <sheetView workbookViewId="0">
      <selection activeCell="L20" sqref="L20"/>
    </sheetView>
  </sheetViews>
  <sheetFormatPr defaultColWidth="9.1796875" defaultRowHeight="14.5" x14ac:dyDescent="0.35"/>
  <cols>
    <col min="3" max="3" width="5.54296875" customWidth="1"/>
    <col min="4" max="4" width="13.1796875" customWidth="1"/>
    <col min="5" max="6" width="12.7265625" customWidth="1"/>
    <col min="7" max="7" width="8.54296875" customWidth="1"/>
    <col min="8" max="8" width="12.7265625" customWidth="1"/>
  </cols>
  <sheetData>
    <row r="1" spans="3:10" ht="15" thickBot="1" x14ac:dyDescent="0.4"/>
    <row r="2" spans="3:10" ht="41.15" customHeight="1" x14ac:dyDescent="0.35">
      <c r="C2" t="s" s="48">
        <v>108</v>
      </c>
      <c r="D2" t="s" s="49">
        <v>109</v>
      </c>
      <c r="E2" t="s" s="50">
        <v>112</v>
      </c>
      <c r="F2" t="s" s="50">
        <v>110</v>
      </c>
      <c r="G2" t="s" s="50">
        <v>114</v>
      </c>
      <c r="H2" t="s" s="51">
        <v>111</v>
      </c>
    </row>
    <row r="3" spans="3:10" s="45" customFormat="1" hidden="1" x14ac:dyDescent="0.35">
      <c r="C3" t="s" s="52">
        <v>64</v>
      </c>
      <c r="D3" t="s" s="53">
        <v>65</v>
      </c>
      <c r="E3" t="s" s="46">
        <v>66</v>
      </c>
      <c r="F3" t="s" s="46">
        <v>67</v>
      </c>
      <c r="G3" t="s" s="46">
        <v>113</v>
      </c>
      <c r="H3" t="s" s="54">
        <v>68</v>
      </c>
      <c r="I3" s="44"/>
      <c r="J3" s="44"/>
    </row>
    <row r="4" spans="3:10" x14ac:dyDescent="0.35">
      <c r="C4" s="24">
        <v>1</v>
      </c>
      <c r="D4" s="47">
        <f>'INV-2'!B5+'INV-2'!G5+'INV-2'!L5+'INV-2'!B13+'INV-2'!G13+'INV-2'!L13+'INV-2'!B21+'INV-2'!G21+'INV-2'!L21+'INV-2'!B29+'INV-2'!G29+'INV-2'!L29+'INV-2'!B37+'INV-2'!G37+'INV-2'!L37</f>
      </c>
      <c r="E4" s="47">
        <f>'INV-2'!C21+'INV-2'!H21+'INV-2'!M21+'INV-2'!C29+'INV-2'!H29+'INV-2'!M29+'INV-2'!C37+'INV-2'!H37+'INV-2'!M37</f>
      </c>
      <c r="F4" s="47">
        <f>'INV-2'!D5+'INV-2'!I5+'INV-2'!N5+'INV-2'!D13+'INV-2'!I13+'INV-2'!N13+'INV-2'!D21+'INV-2'!I21+'INV-2'!N21+'INV-2'!D37+'INV-2'!I37+'INV-2'!N37</f>
      </c>
      <c r="G4" s="47">
        <f>Table4[[#This Row],[Column2]]+Table4[[#This Row],[Column3]]/Table4[[#This Row],[Column4]]*100</f>
      </c>
      <c r="H4" s="55">
        <f>'INV-2'!E5+'INV-2'!J5+'INV-2'!O5+'INV-2'!E13+'INV-2'!J13+'INV-2'!O13+'INV-2'!E21+'INV-2'!J21+'INV-2'!O21+'INV-2'!E29+'INV-2'!J29+'INV-2'!O29+'INV-2'!E37+'INV-2'!J37+'INV-2'!O37</f>
      </c>
    </row>
    <row r="5" spans="3:10" x14ac:dyDescent="0.35">
      <c r="C5" s="24">
        <v>2</v>
      </c>
      <c r="D5" s="47">
        <f>'INV-2'!B6+'INV-2'!G6+'INV-2'!L6+'INV-2'!B14+'INV-2'!G14+'INV-2'!L14+'INV-2'!B22+'INV-2'!G22+'INV-2'!L22+'INV-2'!B30+'INV-2'!G30+'INV-2'!L30+'INV-2'!B38+'INV-2'!G38+'INV-2'!L38</f>
      </c>
      <c r="E5" s="47">
        <f>'INV-2'!C22+'INV-2'!H22+'INV-2'!M22+'INV-2'!C30+'INV-2'!H30+'INV-2'!M30+'INV-2'!C38+'INV-2'!H38+'INV-2'!M38</f>
      </c>
      <c r="F5" s="47">
        <f>'INV-2'!D6+'INV-2'!I6+'INV-2'!N6+'INV-2'!D14+'INV-2'!I14+'INV-2'!N14+'INV-2'!D22+'INV-2'!I22+'INV-2'!N22+'INV-2'!D38+'INV-2'!I38+'INV-2'!N38</f>
      </c>
      <c r="G5" s="47">
        <f>Table4[[#This Row],[Column2]]+Table4[[#This Row],[Column3]]/Table4[[#This Row],[Column4]]*100</f>
      </c>
      <c r="H5" s="55">
        <f>'INV-2'!E6+'INV-2'!J6+'INV-2'!O6+'INV-2'!E14+'INV-2'!J14+'INV-2'!O14+'INV-2'!E22+'INV-2'!J22+'INV-2'!O22+'INV-2'!E30+'INV-2'!J30+'INV-2'!O30+'INV-2'!E38+'INV-2'!J38+'INV-2'!O38</f>
      </c>
    </row>
    <row r="6" spans="3:10" x14ac:dyDescent="0.35">
      <c r="C6" s="24">
        <v>3</v>
      </c>
      <c r="D6" s="47">
        <f>'INV-2'!B7+'INV-2'!G7+'INV-2'!L7+'INV-2'!B15+'INV-2'!G15+'INV-2'!L15+'INV-2'!B23+'INV-2'!G23+'INV-2'!L23+'INV-2'!B31+'INV-2'!G31+'INV-2'!L31+'INV-2'!B39+'INV-2'!G39+'INV-2'!L39</f>
      </c>
      <c r="E6" s="47">
        <f>'INV-2'!C23+'INV-2'!H23+'INV-2'!M23+'INV-2'!C31+'INV-2'!H31+'INV-2'!M31+'INV-2'!C39+'INV-2'!H39+'INV-2'!M39</f>
      </c>
      <c r="F6" s="47">
        <f>'INV-2'!D7+'INV-2'!I7+'INV-2'!N7+'INV-2'!D15+'INV-2'!I15+'INV-2'!N15+'INV-2'!D23+'INV-2'!I23+'INV-2'!N23+'INV-2'!D39+'INV-2'!I39+'INV-2'!N39</f>
      </c>
      <c r="G6" s="47">
        <f>Table4[[#This Row],[Column2]]+Table4[[#This Row],[Column3]]/Table4[[#This Row],[Column4]]*100</f>
      </c>
      <c r="H6" s="55">
        <f>'INV-2'!E7+'INV-2'!J7+'INV-2'!O7+'INV-2'!E15+'INV-2'!J15+'INV-2'!O15+'INV-2'!E23+'INV-2'!J23+'INV-2'!O23+'INV-2'!E31+'INV-2'!J31+'INV-2'!O31+'INV-2'!E39+'INV-2'!J39+'INV-2'!O39</f>
      </c>
    </row>
    <row r="7" spans="3:10" x14ac:dyDescent="0.35">
      <c r="C7" s="24">
        <v>4</v>
      </c>
      <c r="D7" s="47">
        <f>'INV-2'!B8+'INV-2'!G8+'INV-2'!L8+'INV-2'!B16+'INV-2'!G16+'INV-2'!L16+'INV-2'!B24+'INV-2'!G24+'INV-2'!L24+'INV-2'!B32+'INV-2'!G32+'INV-2'!L32+'INV-2'!B40+'INV-2'!G40+'INV-2'!L40</f>
      </c>
      <c r="E7" s="47">
        <f>'INV-2'!C24+'INV-2'!H24+'INV-2'!M24+'INV-2'!C32+'INV-2'!H32+'INV-2'!M32+'INV-2'!C40+'INV-2'!H40+'INV-2'!M40</f>
      </c>
      <c r="F7" s="47">
        <f>'INV-2'!D8+'INV-2'!I8+'INV-2'!N8+'INV-2'!D16+'INV-2'!I16+'INV-2'!N16+'INV-2'!D24+'INV-2'!I24+'INV-2'!N24+'INV-2'!D40+'INV-2'!I40+'INV-2'!N40</f>
      </c>
      <c r="G7" s="47">
        <f>Table4[[#This Row],[Column2]]+Table4[[#This Row],[Column3]]/Table4[[#This Row],[Column4]]*100</f>
      </c>
      <c r="H7" s="55">
        <f>'INV-2'!E8+'INV-2'!J8+'INV-2'!O8+'INV-2'!E16+'INV-2'!J16+'INV-2'!O16+'INV-2'!E24+'INV-2'!J24+'INV-2'!O24+'INV-2'!E32+'INV-2'!J32+'INV-2'!O32+'INV-2'!E40+'INV-2'!J40+'INV-2'!O40</f>
      </c>
    </row>
    <row r="8" spans="3:10" x14ac:dyDescent="0.35">
      <c r="C8" s="24">
        <v>5</v>
      </c>
      <c r="D8" s="47">
        <f>'INV-2'!B9+'INV-2'!G9+'INV-2'!L9+'INV-2'!B17+'INV-2'!G17+'INV-2'!L17+'INV-2'!B25+'INV-2'!G25+'INV-2'!L25+'INV-2'!B33+'INV-2'!G33+'INV-2'!L33+'INV-2'!B41+'INV-2'!G41+'INV-2'!L41</f>
      </c>
      <c r="E8" s="47">
        <f>'INV-2'!C25+'INV-2'!H25+'INV-2'!M25+'INV-2'!C33+'INV-2'!H33+'INV-2'!M33+'INV-2'!C41+'INV-2'!H41+'INV-2'!M41</f>
      </c>
      <c r="F8" s="47">
        <f>'INV-2'!D9+'INV-2'!I9+'INV-2'!N9+'INV-2'!D17+'INV-2'!I17+'INV-2'!N17+'INV-2'!D25+'INV-2'!I25+'INV-2'!N25+'INV-2'!D41+'INV-2'!I41+'INV-2'!N41</f>
      </c>
      <c r="G8" s="47">
        <f>Table4[[#This Row],[Column2]]+Table4[[#This Row],[Column3]]/Table4[[#This Row],[Column4]]*100</f>
      </c>
      <c r="H8" s="55">
        <f>'INV-2'!E9+'INV-2'!J9+'INV-2'!O9+'INV-2'!E17+'INV-2'!J17+'INV-2'!O17+'INV-2'!E25+'INV-2'!J25+'INV-2'!O25+'INV-2'!E33+'INV-2'!J33+'INV-2'!O33+'INV-2'!E41+'INV-2'!J41+'INV-2'!O41</f>
      </c>
    </row>
    <row r="9" spans="3:10" ht="15" thickBot="1" x14ac:dyDescent="0.4">
      <c r="C9" s="26"/>
      <c r="D9" s="56"/>
      <c r="E9" s="56"/>
      <c r="F9" s="56"/>
      <c r="G9" s="56"/>
      <c r="H9" s="57"/>
    </row>
    <row r="11" spans="3:10" s="59" customFormat="1" ht="21" x14ac:dyDescent="0.35">
      <c r="C11" t="s" s="62">
        <v>115</v>
      </c>
      <c r="D11" t="s" s="63">
        <v>116</v>
      </c>
      <c r="E11" t="s" s="46">
        <v>109</v>
      </c>
      <c r="F11" t="s" s="62">
        <v>100</v>
      </c>
      <c r="G11" t="s" s="62">
        <v>118</v>
      </c>
      <c r="H11" t="s" s="62">
        <v>119</v>
      </c>
    </row>
    <row r="12" spans="3:10" x14ac:dyDescent="0.35">
      <c r="C12" s="64">
        <v>1</v>
      </c>
      <c r="D12" s="65">
        <f>'INV-2'!B3</f>
      </c>
      <c r="E12" s="66">
        <f>'INV-2'!B5+'INV-2'!B6+'INV-2'!B7+'INV-2'!B8+'INV-2'!B9</f>
      </c>
      <c r="F12" s="66">
        <f>'INV-2'!C5+'INV-2'!C6+'INV-2'!C7+'INV-2'!C8+'INV-2'!C9</f>
      </c>
      <c r="G12" s="66">
        <f>'INV-2'!D5+'INV-2'!D6+'INV-2'!D7+'INV-2'!D8+'INV-2'!D9</f>
      </c>
      <c r="H12" s="66">
        <f>'INV-2'!E10</f>
      </c>
    </row>
    <row r="13" spans="3:10" x14ac:dyDescent="0.35">
      <c r="C13" s="68">
        <v>2</v>
      </c>
      <c r="D13" s="69">
        <f>'INV-2'!G3</f>
      </c>
      <c r="E13" s="70">
        <f>'INV-2'!G5+'INV-2'!G6+'INV-2'!G7+'INV-2'!G8+'INV-2'!G9</f>
      </c>
      <c r="F13" s="70">
        <f>'INV-2'!H5+'INV-2'!H6+'INV-2'!H7+'INV-2'!H8+'INV-2'!H9</f>
      </c>
      <c r="G13" s="70">
        <f>'INV-2'!I10</f>
      </c>
      <c r="H13" s="70">
        <f>'INV-2'!J10</f>
      </c>
    </row>
    <row r="14" spans="3:10" x14ac:dyDescent="0.35">
      <c r="C14" s="64">
        <v>3</v>
      </c>
      <c r="D14" s="65">
        <f>'INV-2'!L3</f>
      </c>
      <c r="E14" s="66">
        <f>'INV-2'!L10</f>
      </c>
      <c r="F14" s="66">
        <f>'INV-2'!M10</f>
      </c>
      <c r="G14" s="66">
        <f>'INV-2'!N10</f>
      </c>
      <c r="H14" s="66">
        <f>'INV-2'!O10</f>
      </c>
    </row>
    <row r="15" spans="3:10" x14ac:dyDescent="0.35">
      <c r="C15" s="68">
        <v>4</v>
      </c>
      <c r="D15" s="69">
        <f>'INV-2'!B11</f>
      </c>
      <c r="E15" s="70">
        <f>'INV-2'!B18</f>
      </c>
      <c r="F15" s="70">
        <f>'INV-2'!C18</f>
      </c>
      <c r="G15" s="70">
        <f>'INV-2'!D18</f>
      </c>
      <c r="H15" s="70">
        <f>'INV-2'!E18</f>
      </c>
    </row>
    <row r="16" spans="3:10" x14ac:dyDescent="0.35">
      <c r="C16" s="64">
        <v>5</v>
      </c>
      <c r="D16" s="65">
        <f>'INV-2'!G11</f>
      </c>
      <c r="E16" s="66">
        <f>'INV-2'!G18</f>
      </c>
      <c r="F16" s="66">
        <f>'INV-2'!H18</f>
      </c>
      <c r="G16" s="66">
        <f>'INV-2'!I18</f>
      </c>
      <c r="H16" s="66">
        <f>'INV-2'!J18</f>
      </c>
    </row>
    <row r="17" spans="3:8" x14ac:dyDescent="0.35">
      <c r="C17" s="68">
        <v>6</v>
      </c>
      <c r="D17" s="69">
        <f>'INV-2'!L11</f>
      </c>
      <c r="E17" s="70">
        <f>'INV-2'!L18</f>
      </c>
      <c r="F17" s="70">
        <f>'INV-2'!M18</f>
      </c>
      <c r="G17" s="70">
        <f>'INV-2'!N18</f>
      </c>
      <c r="H17" s="70">
        <f>'INV-2'!O18</f>
      </c>
    </row>
    <row r="18" spans="3:8" x14ac:dyDescent="0.35">
      <c r="C18" s="64">
        <v>7</v>
      </c>
      <c r="D18" s="65"/>
      <c r="E18" s="66"/>
      <c r="F18" s="66"/>
      <c r="G18" s="66"/>
      <c r="H18" s="66"/>
    </row>
    <row r="19" spans="3:8" x14ac:dyDescent="0.35">
      <c r="C19" s="68">
        <v>8</v>
      </c>
      <c r="D19" s="69"/>
      <c r="E19" s="70"/>
      <c r="F19" s="70"/>
      <c r="G19" s="70"/>
      <c r="H19" s="70"/>
    </row>
    <row r="20" spans="3:8" x14ac:dyDescent="0.35">
      <c r="C20" s="64">
        <v>9</v>
      </c>
      <c r="D20" s="65"/>
      <c r="E20" s="66"/>
      <c r="F20" s="66"/>
      <c r="G20" s="66"/>
      <c r="H20" s="66"/>
    </row>
    <row r="21" spans="3:8" x14ac:dyDescent="0.35">
      <c r="C21" s="68">
        <v>10</v>
      </c>
      <c r="D21" s="69"/>
      <c r="E21" s="70"/>
      <c r="F21" s="70"/>
      <c r="G21" s="70"/>
      <c r="H21" s="70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C01B-9C8E-42D9-9606-86C60E45B9A7}">
  <sheetPr codeName="Sheet9"/>
  <sheetViews>
    <sheetView workbookViewId="0">
      <selection activeCell="L20" sqref="L20"/>
    </sheetView>
  </sheetViews>
  <sheetFormatPr defaultColWidth="9.1796875" defaultRowHeight="14.5" x14ac:dyDescent="0.35"/>
  <cols>
    <col min="1" max="1" width="3.7265625" customWidth="1"/>
    <col min="2" max="5" width="10.81640625" customWidth="1"/>
    <col min="6" max="6" width="1.453125" customWidth="1"/>
    <col min="7" max="9" width="10.81640625" customWidth="1"/>
    <col min="10" max="10" width="8.7265625" customWidth="1"/>
    <col min="11" max="11" width="1.453125" customWidth="1"/>
    <col min="12" max="14" width="10.81640625" customWidth="1"/>
    <col min="15" max="15" width="8.7265625" customWidth="1"/>
  </cols>
  <sheetData>
    <row r="2" spans="1:15" ht="15" thickBot="1" x14ac:dyDescent="0.4">
      <c r="A2" t="s" s="377">
        <v>104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</row>
    <row r="3" spans="1:15" x14ac:dyDescent="0.35">
      <c r="A3" s="27"/>
      <c r="B3" t="s" s="372">
        <v>103</v>
      </c>
      <c r="C3" s="373"/>
      <c r="D3" s="373"/>
      <c r="E3" s="374"/>
      <c r="F3" s="34"/>
      <c r="G3" t="s" s="375">
        <v>90</v>
      </c>
      <c r="H3" s="376"/>
      <c r="I3" s="376"/>
      <c r="J3" s="376"/>
      <c r="K3" s="34"/>
      <c r="L3" t="s" s="375">
        <v>97</v>
      </c>
      <c r="M3" s="376"/>
      <c r="N3" s="376"/>
      <c r="O3" s="376"/>
    </row>
    <row r="4" spans="1:15" ht="25" customHeight="1" thickBot="1" x14ac:dyDescent="0.4">
      <c r="A4" t="s" s="28">
        <v>54</v>
      </c>
      <c r="B4" t="s" s="29">
        <v>99</v>
      </c>
      <c r="C4" t="s" s="30">
        <v>100</v>
      </c>
      <c r="D4" t="s" s="30">
        <v>101</v>
      </c>
      <c r="E4" t="s" s="31">
        <v>102</v>
      </c>
      <c r="F4" s="35"/>
      <c r="G4" t="s" s="29">
        <v>99</v>
      </c>
      <c r="H4" t="s" s="30">
        <v>100</v>
      </c>
      <c r="I4" t="s" s="30">
        <v>101</v>
      </c>
      <c r="J4" t="s" s="31">
        <v>102</v>
      </c>
      <c r="K4" s="35"/>
      <c r="L4" t="s" s="29">
        <v>99</v>
      </c>
      <c r="M4" t="s" s="30">
        <v>100</v>
      </c>
      <c r="N4" t="s" s="30">
        <v>101</v>
      </c>
      <c r="O4" t="s" s="31">
        <v>102</v>
      </c>
    </row>
    <row r="5" spans="1:15" ht="15.5" thickTop="1" thickBot="1" x14ac:dyDescent="0.4">
      <c r="A5" s="32">
        <v>1</v>
      </c>
      <c r="B5" s="33"/>
      <c r="C5" s="41">
        <f>'S-Detail'!S6+'S-Detail'!S7+'S-Detail'!S8+'S-Detail'!S9+'S-Detail'!S10+'S-Detail'!S11+'S-Detail'!S12</f>
      </c>
      <c r="D5" s="33"/>
      <c r="E5" s="41">
        <f>B5+C5-D5</f>
      </c>
      <c r="F5" s="36"/>
      <c r="G5" s="42"/>
      <c r="H5" s="41">
        <f>'S-Detail'!R6+'S-Detail'!R7+'S-Detail'!R8+'S-Detail'!R9+'S-Detail'!R10+'S-Detail'!R11+'S-Detail'!R12</f>
      </c>
      <c r="I5" s="42"/>
      <c r="J5" s="43">
        <f>G5+H5-I5</f>
      </c>
      <c r="K5" s="40"/>
      <c r="L5" s="39"/>
      <c r="M5" s="41">
        <f>'S-Detail'!T6+'S-Detail'!T7+'S-Detail'!T8+'S-Detail'!T9+'S-Detail'!T10+'S-Detail'!T11+'S-Detail'!T12</f>
      </c>
      <c r="N5" s="39"/>
      <c r="O5" s="41">
        <f>L5+M5-N5</f>
      </c>
    </row>
    <row r="6" spans="1:15" ht="15.5" thickTop="1" thickBot="1" x14ac:dyDescent="0.4">
      <c r="A6" s="32">
        <v>2</v>
      </c>
      <c r="B6" s="33"/>
      <c r="C6" s="41">
        <f>'S-Detail'!S15+'S-Detail'!S16+'S-Detail'!S17+'S-Detail'!S18+'S-Detail'!S19+'S-Detail'!S20+'S-Detail'!S21</f>
      </c>
      <c r="D6" s="33"/>
      <c r="E6" s="41">
        <f t="shared" ref="E6:E41" si="0">B6+C6-D6</f>
      </c>
      <c r="F6" s="36"/>
      <c r="G6" s="42"/>
      <c r="H6" s="41">
        <f>'S-Detail'!R15+'S-Detail'!R16+'S-Detail'!R17+'S-Detail'!R18+'S-Detail'!R19+'S-Detail'!R20+'S-Detail'!R21</f>
      </c>
      <c r="I6" s="42"/>
      <c r="J6" s="43">
        <f t="shared" ref="J6:J41" si="1">G6+H6-I6</f>
      </c>
      <c r="K6" s="40"/>
      <c r="L6" s="39"/>
      <c r="M6" s="41"/>
      <c r="N6" s="39"/>
      <c r="O6" s="41">
        <f t="shared" ref="O6:O41" si="2">L6+M6-N6</f>
      </c>
    </row>
    <row r="7" spans="1:15" ht="15.5" thickTop="1" thickBot="1" x14ac:dyDescent="0.4">
      <c r="A7" s="32">
        <v>3</v>
      </c>
      <c r="B7" s="33"/>
      <c r="C7" s="41">
        <f>'S-Detail'!S24+'S-Detail'!S25+'S-Detail'!S26+'S-Detail'!S27+'S-Detail'!S28+'S-Detail'!S29+'S-Detail'!S30</f>
      </c>
      <c r="D7" s="33"/>
      <c r="E7" s="41">
        <f t="shared" si="0"/>
      </c>
      <c r="F7" s="36"/>
      <c r="G7" s="42"/>
      <c r="H7" s="41">
        <f>'S-Detail'!R24+'S-Detail'!R25+'S-Detail'!R26+'S-Detail'!R27+'S-Detail'!R28+'S-Detail'!R29+'S-Detail'!R30</f>
      </c>
      <c r="I7" s="42"/>
      <c r="J7" s="43">
        <f t="shared" si="1"/>
      </c>
      <c r="K7" s="40"/>
      <c r="L7" s="39"/>
      <c r="M7" s="41"/>
      <c r="N7" s="39"/>
      <c r="O7" s="41">
        <f t="shared" si="2"/>
      </c>
    </row>
    <row r="8" spans="1:15" ht="15.5" thickTop="1" thickBot="1" x14ac:dyDescent="0.4">
      <c r="A8" s="32">
        <v>4</v>
      </c>
      <c r="B8" s="33">
        <v>0</v>
      </c>
      <c r="C8" s="41">
        <f>'S-Detail'!S33+'S-Detail'!S34+'S-Detail'!S35+'S-Detail'!S36+'S-Detail'!S37+'S-Detail'!S38+'S-Detail'!S39</f>
      </c>
      <c r="D8" s="33"/>
      <c r="E8" s="41">
        <f t="shared" si="0"/>
      </c>
      <c r="F8" s="36"/>
      <c r="G8" s="42"/>
      <c r="H8" s="41">
        <f>'S-Detail'!R33+'S-Detail'!R34+'S-Detail'!R35+'S-Detail'!R36+'S-Detail'!R37+'S-Detail'!R38+'S-Detail'!R39</f>
      </c>
      <c r="I8" s="42">
        <v>2</v>
      </c>
      <c r="J8" s="43">
        <f t="shared" si="1"/>
      </c>
      <c r="K8" s="40"/>
      <c r="L8" s="39"/>
      <c r="M8" s="41"/>
      <c r="N8" s="39"/>
      <c r="O8" s="41">
        <f t="shared" si="2"/>
      </c>
    </row>
    <row r="9" spans="1:15" ht="15.5" thickTop="1" thickBot="1" x14ac:dyDescent="0.4">
      <c r="A9" s="32">
        <v>5</v>
      </c>
      <c r="B9" s="33">
        <v>0</v>
      </c>
      <c r="C9" s="41">
        <f>'S-Detail'!S42+'S-Detail'!S43+'S-Detail'!S44</f>
      </c>
      <c r="D9" s="33"/>
      <c r="E9" s="41">
        <f t="shared" si="0"/>
      </c>
      <c r="F9" s="36"/>
      <c r="G9" s="42">
        <v>0</v>
      </c>
      <c r="H9" s="41">
        <f>'S-Detail'!R42+'S-Detail'!R43+'S-Detail'!R44</f>
      </c>
      <c r="I9" s="42"/>
      <c r="J9" s="43">
        <f t="shared" si="1"/>
      </c>
      <c r="K9" s="40"/>
      <c r="L9" s="39"/>
      <c r="M9" s="41"/>
      <c r="N9" s="39"/>
      <c r="O9" s="41">
        <f t="shared" si="2"/>
      </c>
    </row>
    <row r="10" spans="1:15" s="47" customFormat="1" ht="15.5" thickTop="1" thickBot="1" x14ac:dyDescent="0.4">
      <c r="A10" s="60"/>
      <c r="B10" s="60">
        <f>B5+B6+B7+B8+B9</f>
      </c>
      <c r="C10" s="60">
        <f t="shared" ref="C10:O10" si="3">C5+C6+C7+C8+C9</f>
      </c>
      <c r="D10" s="60">
        <f t="shared" si="3"/>
      </c>
      <c r="E10" s="60">
        <f t="shared" si="3"/>
      </c>
      <c r="F10" s="60">
        <f t="shared" si="3"/>
      </c>
      <c r="G10" s="60">
        <f t="shared" si="3"/>
      </c>
      <c r="H10" s="60">
        <f t="shared" si="3"/>
      </c>
      <c r="I10" s="60">
        <f t="shared" si="3"/>
      </c>
      <c r="J10" s="60">
        <f t="shared" si="3"/>
      </c>
      <c r="K10" s="60">
        <f t="shared" si="3"/>
      </c>
      <c r="L10" s="60">
        <f t="shared" si="3"/>
      </c>
      <c r="M10" s="60">
        <f t="shared" si="3"/>
      </c>
      <c r="N10" s="60">
        <f t="shared" si="3"/>
      </c>
      <c r="O10" s="60">
        <f t="shared" si="3"/>
      </c>
    </row>
    <row r="11" spans="1:15" ht="15" thickTop="1" x14ac:dyDescent="0.35">
      <c r="A11" s="27"/>
      <c r="B11" t="s" s="372">
        <v>105</v>
      </c>
      <c r="C11" s="373"/>
      <c r="D11" s="373"/>
      <c r="E11" s="374"/>
      <c r="F11" s="34"/>
      <c r="G11" t="s" s="375">
        <v>106</v>
      </c>
      <c r="H11" s="376"/>
      <c r="I11" s="376"/>
      <c r="J11" s="376"/>
      <c r="K11" s="34"/>
      <c r="L11" t="s" s="375">
        <v>107</v>
      </c>
      <c r="M11" s="376"/>
      <c r="N11" s="376"/>
      <c r="O11" s="376"/>
    </row>
    <row r="12" spans="1:15" ht="24.65" customHeight="1" thickBot="1" x14ac:dyDescent="0.4">
      <c r="A12" t="s" s="28">
        <v>54</v>
      </c>
      <c r="B12" t="s" s="29">
        <v>99</v>
      </c>
      <c r="C12" t="s" s="30">
        <v>100</v>
      </c>
      <c r="D12" t="s" s="30">
        <v>101</v>
      </c>
      <c r="E12" t="s" s="31">
        <v>102</v>
      </c>
      <c r="F12" s="35"/>
      <c r="G12" t="s" s="29">
        <v>99</v>
      </c>
      <c r="H12" t="s" s="30">
        <v>100</v>
      </c>
      <c r="I12" t="s" s="30">
        <v>101</v>
      </c>
      <c r="J12" t="s" s="31">
        <v>102</v>
      </c>
      <c r="K12" s="35"/>
      <c r="L12" t="s" s="29">
        <v>99</v>
      </c>
      <c r="M12" t="s" s="30">
        <v>100</v>
      </c>
      <c r="N12" t="s" s="30">
        <v>101</v>
      </c>
      <c r="O12" t="s" s="31">
        <v>102</v>
      </c>
    </row>
    <row r="13" spans="1:15" ht="15.5" thickTop="1" thickBot="1" x14ac:dyDescent="0.4">
      <c r="A13" s="32">
        <v>1</v>
      </c>
      <c r="B13" s="39"/>
      <c r="C13" s="41"/>
      <c r="D13" s="39"/>
      <c r="E13" s="41">
        <f t="shared" si="0"/>
      </c>
      <c r="F13" s="40"/>
      <c r="G13" s="42"/>
      <c r="H13" s="41"/>
      <c r="I13" s="42"/>
      <c r="J13" s="41">
        <f t="shared" si="1"/>
      </c>
      <c r="K13" s="40"/>
      <c r="L13" s="39"/>
      <c r="M13" s="41"/>
      <c r="N13" s="39"/>
      <c r="O13" s="41">
        <f t="shared" si="2"/>
      </c>
    </row>
    <row r="14" spans="1:15" ht="15.5" thickTop="1" thickBot="1" x14ac:dyDescent="0.4">
      <c r="A14" s="32">
        <v>2</v>
      </c>
      <c r="B14" s="39"/>
      <c r="C14" s="41"/>
      <c r="D14" s="39"/>
      <c r="E14" s="41">
        <f t="shared" si="0"/>
      </c>
      <c r="F14" s="40"/>
      <c r="G14" s="42"/>
      <c r="H14" s="41"/>
      <c r="I14" s="42"/>
      <c r="J14" s="41">
        <f t="shared" si="1"/>
      </c>
      <c r="K14" s="40"/>
      <c r="L14" s="39"/>
      <c r="M14" s="41"/>
      <c r="N14" s="39"/>
      <c r="O14" s="41">
        <f t="shared" si="2"/>
      </c>
    </row>
    <row r="15" spans="1:15" ht="15.5" thickTop="1" thickBot="1" x14ac:dyDescent="0.4">
      <c r="A15" s="32">
        <v>3</v>
      </c>
      <c r="B15" s="39"/>
      <c r="C15" s="41"/>
      <c r="D15" s="39"/>
      <c r="E15" s="41">
        <f t="shared" si="0"/>
      </c>
      <c r="F15" s="40"/>
      <c r="G15" s="42"/>
      <c r="H15" s="41"/>
      <c r="I15" s="42"/>
      <c r="J15" s="41">
        <f t="shared" si="1"/>
      </c>
      <c r="K15" s="40"/>
      <c r="L15" s="39"/>
      <c r="M15" s="41"/>
      <c r="N15" s="39"/>
      <c r="O15" s="41">
        <f t="shared" si="2"/>
      </c>
    </row>
    <row r="16" spans="1:15" ht="15.5" thickTop="1" thickBot="1" x14ac:dyDescent="0.4">
      <c r="A16" s="32">
        <v>4</v>
      </c>
      <c r="B16" s="39"/>
      <c r="C16" s="41"/>
      <c r="D16" s="39"/>
      <c r="E16" s="41">
        <f t="shared" si="0"/>
      </c>
      <c r="F16" s="40"/>
      <c r="G16" s="42"/>
      <c r="H16" s="41"/>
      <c r="I16" s="42"/>
      <c r="J16" s="41">
        <f t="shared" si="1"/>
      </c>
      <c r="K16" s="40"/>
      <c r="L16" s="39"/>
      <c r="M16" s="41"/>
      <c r="N16" s="39"/>
      <c r="O16" s="41">
        <f t="shared" si="2"/>
      </c>
    </row>
    <row r="17" spans="1:15" ht="15.5" thickTop="1" thickBot="1" x14ac:dyDescent="0.4">
      <c r="A17" s="32">
        <v>5</v>
      </c>
      <c r="B17" s="39"/>
      <c r="C17" s="41"/>
      <c r="D17" s="39"/>
      <c r="E17" s="41">
        <f t="shared" si="0"/>
      </c>
      <c r="F17" s="40"/>
      <c r="G17" s="42"/>
      <c r="H17" s="41"/>
      <c r="I17" s="42"/>
      <c r="J17" s="41">
        <f t="shared" si="1"/>
      </c>
      <c r="K17" s="40"/>
      <c r="L17" s="39"/>
      <c r="M17" s="41"/>
      <c r="N17" s="39"/>
      <c r="O17" s="41">
        <f t="shared" si="2"/>
      </c>
    </row>
    <row r="18" spans="1:15" ht="15.5" thickTop="1" thickBot="1" x14ac:dyDescent="0.4">
      <c r="A18" s="61"/>
      <c r="B18" s="60">
        <f>B13+B14+B15+B16+B17</f>
      </c>
      <c r="C18" s="60">
        <f t="shared" ref="C18:O18" si="4">C13+C14+C15+C16+C17</f>
      </c>
      <c r="D18" s="60">
        <f t="shared" si="4"/>
      </c>
      <c r="E18" s="60">
        <f t="shared" si="4"/>
      </c>
      <c r="F18" s="60">
        <f t="shared" si="4"/>
      </c>
      <c r="G18" s="60">
        <f t="shared" si="4"/>
      </c>
      <c r="H18" s="60">
        <f t="shared" si="4"/>
      </c>
      <c r="I18" s="60">
        <f t="shared" si="4"/>
      </c>
      <c r="J18" s="60">
        <f t="shared" si="4"/>
      </c>
      <c r="K18" s="60">
        <f t="shared" si="4"/>
      </c>
      <c r="L18" s="60">
        <f t="shared" si="4"/>
      </c>
      <c r="M18" s="60">
        <f t="shared" si="4"/>
      </c>
      <c r="N18" s="60">
        <f t="shared" si="4"/>
      </c>
      <c r="O18" s="60">
        <f t="shared" si="4"/>
      </c>
    </row>
    <row r="19" spans="1:15" ht="15" thickTop="1" x14ac:dyDescent="0.35">
      <c r="A19" s="27"/>
      <c r="B19" t="s" s="372">
        <v>122</v>
      </c>
      <c r="C19" s="373"/>
      <c r="D19" s="373"/>
      <c r="E19" s="374"/>
      <c r="F19" s="34"/>
      <c r="G19" t="s" s="375">
        <v>126</v>
      </c>
      <c r="H19" s="376"/>
      <c r="I19" s="376"/>
      <c r="J19" s="376"/>
      <c r="K19" s="34"/>
      <c r="L19" t="s" s="375">
        <v>95</v>
      </c>
      <c r="M19" s="376"/>
      <c r="N19" s="376"/>
      <c r="O19" s="376"/>
    </row>
    <row r="20" spans="1:15" ht="22.5" thickBot="1" x14ac:dyDescent="0.4">
      <c r="A20" t="s" s="28">
        <v>54</v>
      </c>
      <c r="B20" t="s" s="29">
        <v>99</v>
      </c>
      <c r="C20" t="s" s="30">
        <v>100</v>
      </c>
      <c r="D20" t="s" s="30">
        <v>101</v>
      </c>
      <c r="E20" t="s" s="31">
        <v>102</v>
      </c>
      <c r="F20" s="35"/>
      <c r="G20" t="s" s="29">
        <v>99</v>
      </c>
      <c r="H20" t="s" s="30">
        <v>100</v>
      </c>
      <c r="I20" t="s" s="30">
        <v>101</v>
      </c>
      <c r="J20" t="s" s="31">
        <v>102</v>
      </c>
      <c r="K20" s="35"/>
      <c r="L20" t="s" s="29">
        <v>99</v>
      </c>
      <c r="M20" t="s" s="30">
        <v>100</v>
      </c>
      <c r="N20" t="s" s="30">
        <v>101</v>
      </c>
      <c r="O20" t="s" s="31">
        <v>102</v>
      </c>
    </row>
    <row r="21" spans="1:15" ht="15.5" thickTop="1" thickBot="1" x14ac:dyDescent="0.4">
      <c r="A21" s="32">
        <v>1</v>
      </c>
      <c r="B21" s="39"/>
      <c r="C21" s="41"/>
      <c r="D21" s="39"/>
      <c r="E21" s="41">
        <f t="shared" si="0"/>
      </c>
      <c r="F21" s="40"/>
      <c r="G21" s="42">
        <v>2</v>
      </c>
      <c r="H21" s="41"/>
      <c r="I21" s="42"/>
      <c r="J21" s="41">
        <f t="shared" si="1"/>
      </c>
      <c r="K21" s="40"/>
      <c r="L21" s="39"/>
      <c r="M21" s="41"/>
      <c r="N21" s="39"/>
      <c r="O21" s="41">
        <f t="shared" si="2"/>
      </c>
    </row>
    <row r="22" spans="1:15" ht="15.5" thickTop="1" thickBot="1" x14ac:dyDescent="0.4">
      <c r="A22" s="32">
        <v>2</v>
      </c>
      <c r="B22" s="39"/>
      <c r="C22" s="41"/>
      <c r="D22" s="39"/>
      <c r="E22" s="41">
        <f t="shared" si="0"/>
      </c>
      <c r="F22" s="40"/>
      <c r="G22" s="42"/>
      <c r="H22" s="41"/>
      <c r="I22" s="42"/>
      <c r="J22" s="41">
        <f t="shared" si="1"/>
      </c>
      <c r="K22" s="40"/>
      <c r="L22" s="39"/>
      <c r="M22" s="41"/>
      <c r="N22" s="39"/>
      <c r="O22" s="41">
        <f t="shared" si="2"/>
      </c>
    </row>
    <row r="23" spans="1:15" ht="15.5" thickTop="1" thickBot="1" x14ac:dyDescent="0.4">
      <c r="A23" s="32">
        <v>3</v>
      </c>
      <c r="B23" s="39"/>
      <c r="C23" s="41"/>
      <c r="D23" s="39"/>
      <c r="E23" s="41">
        <f t="shared" si="0"/>
      </c>
      <c r="F23" s="40"/>
      <c r="G23" s="42"/>
      <c r="H23" s="41"/>
      <c r="I23" s="42"/>
      <c r="J23" s="41">
        <f t="shared" si="1"/>
      </c>
      <c r="K23" s="40"/>
      <c r="L23" s="39"/>
      <c r="M23" s="41"/>
      <c r="N23" s="39"/>
      <c r="O23" s="41">
        <f t="shared" si="2"/>
      </c>
    </row>
    <row r="24" spans="1:15" ht="15.5" thickTop="1" thickBot="1" x14ac:dyDescent="0.4">
      <c r="A24" s="32">
        <v>4</v>
      </c>
      <c r="B24" s="39"/>
      <c r="C24" s="41"/>
      <c r="D24" s="39"/>
      <c r="E24" s="41">
        <f t="shared" si="0"/>
      </c>
      <c r="F24" s="40"/>
      <c r="G24" s="42"/>
      <c r="H24" s="41"/>
      <c r="I24" s="42"/>
      <c r="J24" s="41">
        <f t="shared" si="1"/>
      </c>
      <c r="K24" s="40"/>
      <c r="L24" s="39"/>
      <c r="M24" s="41"/>
      <c r="N24" s="39"/>
      <c r="O24" s="41">
        <f t="shared" si="2"/>
      </c>
    </row>
    <row r="25" spans="1:15" ht="15.5" thickTop="1" thickBot="1" x14ac:dyDescent="0.4">
      <c r="A25" s="32">
        <v>5</v>
      </c>
      <c r="B25" s="39"/>
      <c r="C25" s="41"/>
      <c r="D25" s="39"/>
      <c r="E25" s="41">
        <f t="shared" si="0"/>
      </c>
      <c r="F25" s="40"/>
      <c r="G25" s="42"/>
      <c r="H25" s="41"/>
      <c r="I25" s="42"/>
      <c r="J25" s="41">
        <f t="shared" si="1"/>
      </c>
      <c r="K25" s="40"/>
      <c r="L25" s="39"/>
      <c r="M25" s="41"/>
      <c r="N25" s="39"/>
      <c r="O25" s="41">
        <f t="shared" si="2"/>
      </c>
    </row>
    <row r="26" spans="1:15" ht="15.5" thickTop="1" thickBot="1" x14ac:dyDescent="0.4">
      <c r="A26" s="36"/>
      <c r="B26" s="40">
        <f>B21+B22+B23+B24+B25</f>
      </c>
      <c r="C26" s="60">
        <f t="shared" ref="C26:O26" si="5">C21+C22+C23+C24+C25</f>
      </c>
      <c r="D26" s="60">
        <f t="shared" si="5"/>
      </c>
      <c r="E26" s="60">
        <f t="shared" si="5"/>
      </c>
      <c r="F26" s="60">
        <f t="shared" si="5"/>
      </c>
      <c r="G26" s="60">
        <f t="shared" si="5"/>
      </c>
      <c r="H26" s="60">
        <f t="shared" si="5"/>
      </c>
      <c r="I26" s="60">
        <f t="shared" si="5"/>
      </c>
      <c r="J26" s="60">
        <f t="shared" si="5"/>
      </c>
      <c r="K26" s="60">
        <f t="shared" si="5"/>
      </c>
      <c r="L26" s="60">
        <f t="shared" si="5"/>
      </c>
      <c r="M26" s="60">
        <f t="shared" si="5"/>
      </c>
      <c r="N26" s="60">
        <f t="shared" si="5"/>
      </c>
      <c r="O26" s="60">
        <f t="shared" si="5"/>
      </c>
    </row>
    <row r="27" spans="1:15" ht="15" thickTop="1" x14ac:dyDescent="0.35">
      <c r="A27" s="27"/>
      <c r="B27" s="372"/>
      <c r="C27" s="373"/>
      <c r="D27" s="373"/>
      <c r="E27" s="374"/>
      <c r="F27" s="34"/>
      <c r="G27" s="375"/>
      <c r="H27" s="376"/>
      <c r="I27" s="376"/>
      <c r="J27" s="376"/>
      <c r="K27" s="34"/>
      <c r="L27" s="375"/>
      <c r="M27" s="376"/>
      <c r="N27" s="376"/>
      <c r="O27" s="376"/>
    </row>
    <row r="28" spans="1:15" ht="22.5" thickBot="1" x14ac:dyDescent="0.4">
      <c r="A28" t="s" s="28">
        <v>54</v>
      </c>
      <c r="B28" t="s" s="29">
        <v>99</v>
      </c>
      <c r="C28" t="s" s="30">
        <v>100</v>
      </c>
      <c r="D28" t="s" s="30">
        <v>101</v>
      </c>
      <c r="E28" t="s" s="31">
        <v>102</v>
      </c>
      <c r="F28" s="35"/>
      <c r="G28" t="s" s="29">
        <v>99</v>
      </c>
      <c r="H28" t="s" s="30">
        <v>100</v>
      </c>
      <c r="I28" t="s" s="30">
        <v>101</v>
      </c>
      <c r="J28" t="s" s="31">
        <v>102</v>
      </c>
      <c r="K28" s="35"/>
      <c r="L28" t="s" s="29">
        <v>99</v>
      </c>
      <c r="M28" t="s" s="30">
        <v>100</v>
      </c>
      <c r="N28" t="s" s="30">
        <v>101</v>
      </c>
      <c r="O28" t="s" s="31">
        <v>102</v>
      </c>
    </row>
    <row r="29" spans="1:15" ht="15.5" thickTop="1" thickBot="1" x14ac:dyDescent="0.4">
      <c r="A29" s="32">
        <v>1</v>
      </c>
      <c r="B29" s="39"/>
      <c r="C29" s="41"/>
      <c r="D29" s="39"/>
      <c r="E29" s="41">
        <f t="shared" si="0"/>
      </c>
      <c r="F29" s="40"/>
      <c r="G29" s="42"/>
      <c r="H29" s="41"/>
      <c r="I29" s="42"/>
      <c r="J29" s="41">
        <f t="shared" si="1"/>
      </c>
      <c r="K29" s="40"/>
      <c r="L29" s="39">
        <v>7</v>
      </c>
      <c r="M29" s="41"/>
      <c r="N29" s="39"/>
      <c r="O29" s="41">
        <f t="shared" si="2"/>
      </c>
    </row>
    <row r="30" spans="1:15" ht="15.5" thickTop="1" thickBot="1" x14ac:dyDescent="0.4">
      <c r="A30" s="32">
        <v>2</v>
      </c>
      <c r="B30" s="39"/>
      <c r="C30" s="41"/>
      <c r="D30" s="39"/>
      <c r="E30" s="41">
        <f t="shared" si="0"/>
      </c>
      <c r="F30" s="40"/>
      <c r="G30" s="42"/>
      <c r="H30" s="41"/>
      <c r="I30" s="42"/>
      <c r="J30" s="41">
        <f t="shared" si="1"/>
      </c>
      <c r="K30" s="40"/>
      <c r="L30" s="39"/>
      <c r="M30" s="41"/>
      <c r="N30" s="39"/>
      <c r="O30" s="41">
        <f t="shared" si="2"/>
      </c>
    </row>
    <row r="31" spans="1:15" ht="15.5" thickTop="1" thickBot="1" x14ac:dyDescent="0.4">
      <c r="A31" s="32">
        <v>3</v>
      </c>
      <c r="B31" s="39">
        <v>3</v>
      </c>
      <c r="C31" s="41"/>
      <c r="D31" s="39"/>
      <c r="E31" s="41">
        <f t="shared" si="0"/>
      </c>
      <c r="F31" s="40"/>
      <c r="G31" s="42">
        <v>2</v>
      </c>
      <c r="H31" s="41"/>
      <c r="I31" s="42"/>
      <c r="J31" s="41">
        <f t="shared" si="1"/>
      </c>
      <c r="K31" s="40"/>
      <c r="L31" s="39"/>
      <c r="M31" s="41"/>
      <c r="N31" s="39"/>
      <c r="O31" s="41">
        <f t="shared" si="2"/>
      </c>
    </row>
    <row r="32" spans="1:15" ht="15.5" thickTop="1" thickBot="1" x14ac:dyDescent="0.4">
      <c r="A32" s="32">
        <v>4</v>
      </c>
      <c r="B32" s="39"/>
      <c r="C32" s="41"/>
      <c r="D32" s="39"/>
      <c r="E32" s="41">
        <f t="shared" si="0"/>
      </c>
      <c r="F32" s="40"/>
      <c r="G32" s="42"/>
      <c r="H32" s="41"/>
      <c r="I32" s="42"/>
      <c r="J32" s="41">
        <f t="shared" si="1"/>
      </c>
      <c r="K32" s="40"/>
      <c r="L32" s="39"/>
      <c r="M32" s="41"/>
      <c r="N32" s="39"/>
      <c r="O32" s="41">
        <f t="shared" si="2"/>
      </c>
    </row>
    <row r="33" spans="1:15" ht="15.5" thickTop="1" thickBot="1" x14ac:dyDescent="0.4">
      <c r="A33" s="32">
        <v>5</v>
      </c>
      <c r="B33" s="39"/>
      <c r="C33" s="41"/>
      <c r="D33" s="39"/>
      <c r="E33" s="41">
        <f t="shared" si="0"/>
      </c>
      <c r="F33" s="40"/>
      <c r="G33" s="42"/>
      <c r="H33" s="41"/>
      <c r="I33" s="42"/>
      <c r="J33" s="41">
        <f t="shared" si="1"/>
      </c>
      <c r="K33" s="40"/>
      <c r="L33" s="39"/>
      <c r="M33" s="41"/>
      <c r="N33" s="39"/>
      <c r="O33" s="41">
        <f t="shared" si="2"/>
      </c>
    </row>
    <row r="34" spans="1:15" ht="15.5" thickTop="1" thickBot="1" x14ac:dyDescent="0.4">
      <c r="A34" s="61"/>
      <c r="B34" s="60">
        <f>B29+B30+B31+B32+B33</f>
      </c>
      <c r="C34" s="60">
        <f t="shared" ref="C34:O34" si="6">C29+C30+C31+C32+C33</f>
      </c>
      <c r="D34" s="60">
        <f t="shared" si="6"/>
      </c>
      <c r="E34" s="60">
        <f t="shared" si="6"/>
      </c>
      <c r="F34" s="60">
        <f t="shared" si="6"/>
      </c>
      <c r="G34" s="60">
        <f t="shared" si="6"/>
      </c>
      <c r="H34" s="60">
        <f t="shared" si="6"/>
      </c>
      <c r="I34" s="60">
        <f t="shared" si="6"/>
      </c>
      <c r="J34" s="60">
        <f t="shared" si="6"/>
      </c>
      <c r="K34" s="60">
        <f t="shared" si="6"/>
      </c>
      <c r="L34" s="60">
        <f t="shared" si="6"/>
      </c>
      <c r="M34" s="60">
        <f t="shared" si="6"/>
      </c>
      <c r="N34" s="60">
        <f t="shared" si="6"/>
      </c>
      <c r="O34" s="60">
        <f t="shared" si="6"/>
      </c>
    </row>
    <row r="35" spans="1:15" ht="15" thickTop="1" x14ac:dyDescent="0.35">
      <c r="A35" s="27"/>
      <c r="B35" s="372"/>
      <c r="C35" s="373"/>
      <c r="D35" s="373"/>
      <c r="E35" s="374"/>
      <c r="F35" s="34"/>
      <c r="G35" s="375"/>
      <c r="H35" s="376"/>
      <c r="I35" s="376"/>
      <c r="J35" s="376"/>
      <c r="K35" s="34"/>
      <c r="L35" s="375"/>
      <c r="M35" s="376"/>
      <c r="N35" s="376"/>
      <c r="O35" s="376"/>
    </row>
    <row r="36" spans="1:15" ht="22.5" thickBot="1" x14ac:dyDescent="0.4">
      <c r="A36" t="s" s="28">
        <v>54</v>
      </c>
      <c r="B36" t="s" s="29">
        <v>99</v>
      </c>
      <c r="C36" t="s" s="30">
        <v>100</v>
      </c>
      <c r="D36" t="s" s="30">
        <v>101</v>
      </c>
      <c r="E36" t="s" s="31">
        <v>102</v>
      </c>
      <c r="F36" s="35"/>
      <c r="G36" t="s" s="29">
        <v>99</v>
      </c>
      <c r="H36" t="s" s="30">
        <v>100</v>
      </c>
      <c r="I36" t="s" s="30">
        <v>101</v>
      </c>
      <c r="J36" t="s" s="31">
        <v>102</v>
      </c>
      <c r="K36" s="35"/>
      <c r="L36" t="s" s="29">
        <v>99</v>
      </c>
      <c r="M36" t="s" s="30">
        <v>100</v>
      </c>
      <c r="N36" t="s" s="30">
        <v>101</v>
      </c>
      <c r="O36" t="s" s="31">
        <v>102</v>
      </c>
    </row>
    <row r="37" spans="1:15" ht="15.5" thickTop="1" thickBot="1" x14ac:dyDescent="0.4">
      <c r="A37" s="32">
        <v>1</v>
      </c>
      <c r="B37" s="39"/>
      <c r="C37" s="41">
        <v>2</v>
      </c>
      <c r="D37" s="39"/>
      <c r="E37" s="41">
        <f t="shared" si="0"/>
      </c>
      <c r="F37" s="40"/>
      <c r="G37" s="42"/>
      <c r="H37" s="41">
        <v>1</v>
      </c>
      <c r="I37" s="42"/>
      <c r="J37" s="41">
        <f t="shared" si="1"/>
      </c>
      <c r="K37" s="40"/>
      <c r="L37" s="39"/>
      <c r="M37" s="41"/>
      <c r="N37" s="39">
        <v>26</v>
      </c>
      <c r="O37" s="41">
        <f t="shared" si="2"/>
      </c>
    </row>
    <row r="38" spans="1:15" ht="15.5" thickTop="1" thickBot="1" x14ac:dyDescent="0.4">
      <c r="A38" s="32">
        <v>2</v>
      </c>
      <c r="B38" s="39"/>
      <c r="C38" s="41"/>
      <c r="D38" s="39"/>
      <c r="E38" s="41">
        <f t="shared" si="0"/>
      </c>
      <c r="F38" s="40"/>
      <c r="G38" s="42">
        <v>2</v>
      </c>
      <c r="H38" s="41">
        <v>3</v>
      </c>
      <c r="I38" s="42"/>
      <c r="J38" s="41">
        <f t="shared" si="1"/>
      </c>
      <c r="K38" s="40"/>
      <c r="L38" s="39"/>
      <c r="M38" s="41"/>
      <c r="N38" s="39">
        <v>44</v>
      </c>
      <c r="O38" s="41">
        <f t="shared" si="2"/>
      </c>
    </row>
    <row r="39" spans="1:15" ht="15.5" thickTop="1" thickBot="1" x14ac:dyDescent="0.4">
      <c r="A39" s="32">
        <v>3</v>
      </c>
      <c r="B39" s="39"/>
      <c r="C39" s="41"/>
      <c r="D39" s="39"/>
      <c r="E39" s="41">
        <f t="shared" si="0"/>
      </c>
      <c r="F39" s="40"/>
      <c r="G39" s="42"/>
      <c r="H39" s="41"/>
      <c r="I39" s="42"/>
      <c r="J39" s="41">
        <f t="shared" si="1"/>
      </c>
      <c r="K39" s="40"/>
      <c r="L39" s="39"/>
      <c r="M39" s="41"/>
      <c r="N39" s="39"/>
      <c r="O39" s="41">
        <f t="shared" si="2"/>
      </c>
    </row>
    <row r="40" spans="1:15" ht="15.5" thickTop="1" thickBot="1" x14ac:dyDescent="0.4">
      <c r="A40" s="32">
        <v>4</v>
      </c>
      <c r="B40" s="39"/>
      <c r="C40" s="41"/>
      <c r="D40" s="39"/>
      <c r="E40" s="41">
        <f t="shared" si="0"/>
      </c>
      <c r="F40" s="40"/>
      <c r="G40" s="42"/>
      <c r="H40" s="41"/>
      <c r="I40" s="42"/>
      <c r="J40" s="41">
        <f t="shared" si="1"/>
      </c>
      <c r="K40" s="40"/>
      <c r="L40" s="39"/>
      <c r="M40" s="41"/>
      <c r="N40" s="39"/>
      <c r="O40" s="41">
        <f t="shared" si="2"/>
      </c>
    </row>
    <row r="41" spans="1:15" ht="15.5" thickTop="1" thickBot="1" x14ac:dyDescent="0.4">
      <c r="A41" s="32">
        <v>5</v>
      </c>
      <c r="B41" s="39"/>
      <c r="C41" s="41"/>
      <c r="D41" s="39"/>
      <c r="E41" s="41">
        <f t="shared" si="0"/>
      </c>
      <c r="F41" s="40"/>
      <c r="G41" s="42"/>
      <c r="H41" s="41"/>
      <c r="I41" s="42"/>
      <c r="J41" s="41">
        <f t="shared" si="1"/>
      </c>
      <c r="K41" s="40"/>
      <c r="L41" s="39"/>
      <c r="M41" s="41"/>
      <c r="N41" s="39"/>
      <c r="O41" s="41">
        <f t="shared" si="2"/>
      </c>
    </row>
    <row r="42" spans="1:15" ht="15.5" thickTop="1" thickBot="1" x14ac:dyDescent="0.4">
      <c r="A42" s="36"/>
      <c r="B42" s="60">
        <f>B37+B38+B39+B40+B41</f>
      </c>
      <c r="C42" s="60">
        <f t="shared" ref="C42:O42" si="7">C37+C38+C39+C40+C41</f>
      </c>
      <c r="D42" s="60">
        <f t="shared" si="7"/>
      </c>
      <c r="E42" s="60">
        <f t="shared" si="7"/>
      </c>
      <c r="F42" s="60">
        <f t="shared" si="7"/>
      </c>
      <c r="G42" s="60">
        <f t="shared" si="7"/>
      </c>
      <c r="H42" s="60">
        <f t="shared" si="7"/>
      </c>
      <c r="I42" s="60">
        <f t="shared" si="7"/>
      </c>
      <c r="J42" s="60">
        <f t="shared" si="7"/>
      </c>
      <c r="K42" s="60">
        <f t="shared" si="7"/>
      </c>
      <c r="L42" s="60">
        <f t="shared" si="7"/>
      </c>
      <c r="M42" s="60">
        <f t="shared" si="7"/>
      </c>
      <c r="N42" s="60">
        <f t="shared" si="7"/>
      </c>
      <c r="O42" s="60">
        <f t="shared" si="7"/>
      </c>
    </row>
    <row r="43" spans="1:15" ht="15.5" thickTop="1" thickBot="1" x14ac:dyDescent="0.4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5" ht="15" thickTop="1" x14ac:dyDescent="0.35">
      <c r="A44" s="37"/>
      <c r="B44" s="38">
        <f>SUM(B5:B41)</f>
      </c>
      <c r="C44" s="38">
        <f>SUM(C5:C41)</f>
      </c>
      <c r="D44" s="38">
        <f>SUM(D5:D41)</f>
      </c>
      <c r="E44" s="38">
        <f>SUM(E5:E41)</f>
      </c>
      <c r="F44" s="37"/>
      <c r="G44" s="38">
        <f>SUM(G5:G41)</f>
      </c>
      <c r="H44" s="38">
        <f>SUM(H5:H41)</f>
      </c>
      <c r="I44" s="38">
        <f>SUM(I5:I41)</f>
      </c>
      <c r="J44" s="38">
        <f>SUM(J5:J41)</f>
      </c>
      <c r="K44" s="37"/>
      <c r="L44" s="38">
        <f>SUM(L5:L41)</f>
      </c>
      <c r="M44" s="38">
        <f>SUM(M5:M41)</f>
      </c>
      <c r="N44" s="38">
        <f>SUM(N5:N41)</f>
      </c>
      <c r="O44" s="38">
        <f>SUM(O5:O41)</f>
      </c>
    </row>
    <row r="45" spans="1:15" x14ac:dyDescent="0.3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51" spans="4:4" x14ac:dyDescent="0.35">
      <c r="D51" t="s">
        <v>117</v>
      </c>
    </row>
  </sheetData>
  <mergeCells count="16">
    <mergeCell ref="B3:E3"/>
    <mergeCell ref="G3:J3"/>
    <mergeCell ref="L3:O3"/>
    <mergeCell ref="A2:O2"/>
    <mergeCell ref="B11:E11"/>
    <mergeCell ref="G11:J11"/>
    <mergeCell ref="L11:O11"/>
    <mergeCell ref="B35:E35"/>
    <mergeCell ref="G35:J35"/>
    <mergeCell ref="L35:O35"/>
    <mergeCell ref="B19:E19"/>
    <mergeCell ref="G19:J19"/>
    <mergeCell ref="L19:O19"/>
    <mergeCell ref="B27:E27"/>
    <mergeCell ref="G27:J27"/>
    <mergeCell ref="L27:O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C984-4A63-42BB-BF8F-506E5A59B9A7}">
  <sheetPr codeName="Sheet10"/>
  <sheetViews>
    <sheetView workbookViewId="0">
      <selection activeCell="B27" sqref="B27"/>
    </sheetView>
  </sheetViews>
  <sheetFormatPr defaultColWidth="9.1796875" defaultRowHeight="14.5" x14ac:dyDescent="0.35"/>
  <sheetData>
    <row r="1" spans="1:2" x14ac:dyDescent="0.35">
      <c r="A1" t="s">
        <v>226</v>
      </c>
      <c r="B1" t="s">
        <v>143</v>
      </c>
    </row>
    <row r="2" spans="1:2" x14ac:dyDescent="0.35">
      <c r="A2">
        <v>1</v>
      </c>
      <c r="B2" t="s">
        <v>213</v>
      </c>
    </row>
    <row r="3" spans="1:2" x14ac:dyDescent="0.35">
      <c r="A3">
        <v>2</v>
      </c>
      <c r="B3" t="s">
        <v>209</v>
      </c>
    </row>
    <row r="4" spans="1:2" x14ac:dyDescent="0.35">
      <c r="A4">
        <v>3</v>
      </c>
      <c r="B4" t="s">
        <v>227</v>
      </c>
    </row>
    <row r="5" spans="1:2" x14ac:dyDescent="0.35">
      <c r="A5">
        <v>4</v>
      </c>
      <c r="B5" t="s">
        <v>8</v>
      </c>
    </row>
    <row r="6" spans="1:2" x14ac:dyDescent="0.35">
      <c r="A6">
        <v>5</v>
      </c>
      <c r="B6" t="s">
        <v>210</v>
      </c>
    </row>
    <row r="7" spans="1:2" x14ac:dyDescent="0.35">
      <c r="A7">
        <v>6</v>
      </c>
      <c r="B7" t="s">
        <v>211</v>
      </c>
    </row>
    <row r="8" spans="1:2" x14ac:dyDescent="0.35">
      <c r="A8">
        <v>7</v>
      </c>
      <c r="B8" t="s">
        <v>212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AC6F-4AB0-4962-95CB-880F008EB9A7}">
  <sheetPr codeName="Sheet11"/>
  <sheetViews>
    <sheetView workbookViewId="0">
      <selection activeCell="E37" sqref="E37:F47"/>
    </sheetView>
  </sheetViews>
  <sheetFormatPr defaultColWidth="9.1796875" defaultRowHeight="14.5" x14ac:dyDescent="0.35"/>
  <cols>
    <col min="1" max="1" width="11.54296875" customWidth="1"/>
    <col min="2" max="2" width="13.7265625" customWidth="1"/>
    <col min="3" max="4" width="14" customWidth="1"/>
    <col min="5" max="5" width="19.7265625" style="182" customWidth="1"/>
    <col min="6" max="7" width="20.1796875" style="182" customWidth="1"/>
    <col min="8" max="8" width="10.7265625" customWidth="1"/>
    <col min="9" max="9" width="22.26953125" style="182" customWidth="1"/>
    <col min="10" max="10" width="14.7265625" style="182" customWidth="1"/>
    <col min="11" max="11" width="13.81640625" style="182" customWidth="1"/>
    <col min="12" max="13" width="17.81640625" style="182" customWidth="1"/>
    <col min="14" max="14" width="15" customWidth="1"/>
    <col min="15" max="15" width="9.7265625" customWidth="1"/>
  </cols>
  <sheetData>
    <row r="1" spans="1:15" x14ac:dyDescent="0.35">
      <c r="A1" t="s" s="187">
        <v>223</v>
      </c>
      <c r="B1" t="s" s="187">
        <v>229</v>
      </c>
      <c r="C1" t="s" s="187">
        <v>230</v>
      </c>
      <c r="D1" t="s" s="187">
        <v>231</v>
      </c>
      <c r="E1" t="s" s="188">
        <v>232</v>
      </c>
      <c r="F1" t="s" s="188">
        <v>233</v>
      </c>
      <c r="G1" t="s" s="188">
        <v>234</v>
      </c>
      <c r="H1" t="s" s="187">
        <v>143</v>
      </c>
      <c r="I1" t="s" s="189">
        <v>224</v>
      </c>
      <c r="J1" t="s" s="189">
        <v>225</v>
      </c>
      <c r="K1" t="s" s="189">
        <v>216</v>
      </c>
      <c r="L1" t="s" s="189">
        <v>228</v>
      </c>
      <c r="M1" t="s" s="189">
        <v>250</v>
      </c>
      <c r="N1" t="s" s="190">
        <v>235</v>
      </c>
      <c r="O1" t="s" s="188">
        <v>239</v>
      </c>
    </row>
    <row r="2" spans="1:15" x14ac:dyDescent="0.35">
      <c r="A2" s="183">
        <f>'1'!$E$3</f>
      </c>
      <c r="B2">
        <f>'1'!$O$5</f>
      </c>
      <c r="C2">
        <f>'1'!$S$5</f>
      </c>
      <c r="D2">
        <f>'1'!$W$5</f>
      </c>
      <c r="E2" s="184">
        <f>'1'!$D$9</f>
      </c>
      <c r="F2" s="184">
        <f>'1'!$D$11</f>
      </c>
      <c r="G2" s="184">
        <f>'1'!$D$13</f>
      </c>
      <c r="H2">
        <f>'1'!$V$7</f>
      </c>
      <c r="I2" s="184">
        <f>'1'!$F$18</f>
      </c>
      <c r="J2" s="184">
        <f>'1'!$Z$30</f>
      </c>
      <c r="K2" s="184">
        <f>'1'!$F$30</f>
      </c>
      <c r="L2" s="184">
        <f>'1'!$F$34</f>
      </c>
      <c r="M2" s="184">
        <f>'1'!$F$35</f>
      </c>
      <c r="N2" s="185">
        <f>'1'!$F$17</f>
      </c>
      <c r="O2" s="186">
        <v>1</v>
      </c>
    </row>
    <row r="3" spans="1:15" x14ac:dyDescent="0.35">
      <c r="A3" s="183">
        <f>'2'!$E$3</f>
      </c>
      <c r="B3">
        <f>'2'!$O$5</f>
      </c>
      <c r="C3">
        <f>'2'!$S$5</f>
      </c>
      <c r="D3">
        <f>'2'!$W$5</f>
      </c>
      <c r="E3" s="184">
        <f>'2'!$D$9</f>
      </c>
      <c r="F3" s="184">
        <f>'2'!$D$11</f>
      </c>
      <c r="G3" s="184">
        <f>'2'!$D$13</f>
      </c>
      <c r="H3">
        <f>'2'!$V$7</f>
      </c>
      <c r="I3" s="184">
        <f>'2'!$F$18</f>
      </c>
      <c r="J3" s="184">
        <f>'2'!$Z$30</f>
      </c>
      <c r="K3" s="184">
        <f>'2'!$F$30</f>
      </c>
      <c r="L3" s="184">
        <f>'2'!$F$34</f>
      </c>
      <c r="M3" s="184">
        <f>'2'!$F$35</f>
      </c>
      <c r="N3" s="185">
        <f>'2'!$F$17</f>
      </c>
      <c r="O3">
        <v>2</v>
      </c>
    </row>
    <row r="4" spans="1:15" x14ac:dyDescent="0.35">
      <c r="A4" s="183">
        <f>'3'!$E$3</f>
      </c>
      <c r="B4">
        <f>'3'!$O$5</f>
      </c>
      <c r="C4">
        <f>'3'!$S$5</f>
      </c>
      <c r="D4">
        <f>'3'!$W$5</f>
      </c>
      <c r="E4" s="184">
        <f>'3'!$D$9</f>
      </c>
      <c r="F4" s="184">
        <f>'3'!$D$11</f>
      </c>
      <c r="G4" s="184">
        <f>'3'!$D$13</f>
      </c>
      <c r="H4">
        <f>'3'!$V$7</f>
      </c>
      <c r="I4" s="184">
        <f>'3'!$F$17</f>
      </c>
      <c r="J4" s="184">
        <f>'3'!$Z$29</f>
      </c>
      <c r="K4" s="184">
        <f>'3'!$F$29</f>
      </c>
      <c r="L4" s="184">
        <f>'3'!$F$33</f>
      </c>
      <c r="M4" s="184">
        <f>'3'!$F$34</f>
      </c>
      <c r="N4" s="185">
        <f>'3'!$F$16</f>
      </c>
      <c r="O4">
        <v>3</v>
      </c>
    </row>
    <row r="5" spans="1:15" x14ac:dyDescent="0.35">
      <c r="A5" s="183">
        <f>'4'!$E$3</f>
      </c>
      <c r="B5">
        <f>'4'!$O$5</f>
      </c>
      <c r="C5">
        <f>'4'!$S$5</f>
      </c>
      <c r="D5">
        <f>'4'!$W$5</f>
      </c>
      <c r="E5" s="184">
        <f>'4'!$D$9</f>
      </c>
      <c r="F5" s="184">
        <f>'4'!$D$11</f>
      </c>
      <c r="G5" s="184">
        <f>'4'!$D$13</f>
      </c>
      <c r="H5">
        <f>'4'!$V$7</f>
      </c>
      <c r="I5" s="184">
        <f>'4'!$F$17</f>
      </c>
      <c r="J5" s="184">
        <f>'4'!$Z$29</f>
      </c>
      <c r="K5" s="184">
        <f>'4'!$F$29</f>
      </c>
      <c r="L5" s="184">
        <f>'4'!$F$33</f>
      </c>
      <c r="M5" s="184">
        <f>'4'!$F$34</f>
      </c>
      <c r="N5" s="185">
        <f>'4'!$F$16</f>
      </c>
      <c r="O5">
        <v>4</v>
      </c>
    </row>
    <row r="6" spans="1:15" x14ac:dyDescent="0.35">
      <c r="A6" s="183">
        <f>'5'!$E$3</f>
      </c>
      <c r="B6">
        <f>'5'!$O$5</f>
      </c>
      <c r="C6">
        <f>'5'!$S$5</f>
      </c>
      <c r="D6">
        <f>'5'!$W$5</f>
      </c>
      <c r="E6" s="184">
        <f>'5'!$D$9</f>
      </c>
      <c r="F6" s="184">
        <f>'5'!$D$11</f>
      </c>
      <c r="G6" s="184">
        <f>'5'!$D$13</f>
      </c>
      <c r="H6">
        <f>'5'!$V$7</f>
      </c>
      <c r="I6" s="184">
        <f>'5'!$F$17</f>
      </c>
      <c r="J6" s="184">
        <f>'5'!$Z$29</f>
      </c>
      <c r="K6" s="184">
        <f>'5'!$F$29</f>
      </c>
      <c r="L6" s="184">
        <f>'5'!$F$33</f>
      </c>
      <c r="M6" s="184">
        <f>'5'!$F$34</f>
      </c>
      <c r="N6" s="185">
        <f>'5'!$F$16</f>
      </c>
      <c r="O6">
        <v>5</v>
      </c>
    </row>
    <row r="7" spans="1:15" x14ac:dyDescent="0.35">
      <c r="A7" s="183">
        <f>'6'!$E$3</f>
      </c>
      <c r="B7">
        <f>'6'!$O$5</f>
      </c>
      <c r="C7">
        <f>'6'!$S$5</f>
      </c>
      <c r="D7">
        <f>'6'!$W$5</f>
      </c>
      <c r="E7" s="184">
        <f>'6'!$D$9</f>
      </c>
      <c r="F7" s="184">
        <f>'6'!$D$11</f>
      </c>
      <c r="G7" s="184">
        <f>'6'!$D$13</f>
      </c>
      <c r="H7">
        <f>'6'!$V$7</f>
      </c>
      <c r="I7" s="184">
        <f>'6'!$F$17</f>
      </c>
      <c r="J7" s="184">
        <f>'6'!$Z$29</f>
      </c>
      <c r="K7" s="184">
        <f>'6'!$F$29</f>
      </c>
      <c r="L7" s="184">
        <f>'6'!$F$33</f>
      </c>
      <c r="M7" s="184">
        <f>'6'!$F$34</f>
      </c>
      <c r="N7" s="185">
        <f>'6'!$F$16</f>
      </c>
      <c r="O7">
        <v>6</v>
      </c>
    </row>
    <row r="8" spans="1:15" x14ac:dyDescent="0.35">
      <c r="A8" s="183">
        <f>'7'!$E$3</f>
      </c>
      <c r="B8">
        <f>'7'!$O$5</f>
      </c>
      <c r="C8">
        <f>'7'!$S$5</f>
      </c>
      <c r="D8">
        <f>'7'!$W$5</f>
      </c>
      <c r="E8" s="184">
        <f>'7'!$D$9</f>
      </c>
      <c r="F8" s="184">
        <f>'7'!$D$11</f>
      </c>
      <c r="G8" s="184">
        <f>'7'!$D$13</f>
      </c>
      <c r="H8">
        <f>'7'!$V$7</f>
      </c>
      <c r="I8" s="184">
        <f>'7'!$F$17</f>
      </c>
      <c r="J8" s="184">
        <f>'7'!$Z$29</f>
      </c>
      <c r="K8" s="184">
        <f>'7'!$F$29</f>
      </c>
      <c r="L8" s="184">
        <f>'7'!$F$33</f>
      </c>
      <c r="M8" s="184">
        <f>'7'!$F$34</f>
      </c>
      <c r="N8" s="185">
        <f>'7'!$F$16</f>
      </c>
      <c r="O8">
        <v>7</v>
      </c>
    </row>
    <row r="9" spans="1:15" x14ac:dyDescent="0.35">
      <c r="A9" s="183">
        <f>'8'!$E$3</f>
      </c>
      <c r="B9">
        <f>'8'!$O$5</f>
      </c>
      <c r="C9">
        <f>'8'!$S$5</f>
      </c>
      <c r="D9">
        <f>'8'!$W$5</f>
      </c>
      <c r="E9" s="184">
        <f>'8'!$D$9</f>
      </c>
      <c r="F9" s="184">
        <f>'8'!$D$11</f>
      </c>
      <c r="G9" s="184">
        <f>'8'!$D$13</f>
      </c>
      <c r="H9">
        <f>'8'!$V$7</f>
      </c>
      <c r="I9" s="184">
        <f>'8'!$F$17</f>
      </c>
      <c r="J9" s="184">
        <f>'8'!$Z$29</f>
      </c>
      <c r="K9" s="184">
        <f>'8'!$F$29</f>
      </c>
      <c r="L9" s="184">
        <f>'8'!$F$33</f>
      </c>
      <c r="M9" s="184">
        <f>'8'!$F$34</f>
      </c>
      <c r="N9" s="185">
        <f>'8'!$F$16</f>
      </c>
      <c r="O9">
        <v>8</v>
      </c>
    </row>
    <row r="10" spans="1:15" x14ac:dyDescent="0.35">
      <c r="A10" s="183">
        <f>'9'!$E$3</f>
      </c>
      <c r="B10">
        <f>'9'!$O$5</f>
      </c>
      <c r="C10">
        <f>'9'!$S$5</f>
      </c>
      <c r="D10">
        <f>'9'!$W$5</f>
      </c>
      <c r="E10" s="184">
        <f>'9'!$D$9</f>
      </c>
      <c r="F10" s="184">
        <f>'9'!$D$11</f>
      </c>
      <c r="G10" s="184">
        <f>'9'!$D$13</f>
      </c>
      <c r="H10">
        <f>'9'!$V$7</f>
      </c>
      <c r="I10" s="184">
        <f>'9'!$F$17</f>
      </c>
      <c r="J10" s="184">
        <f>'9'!$Z$29</f>
      </c>
      <c r="K10" s="184">
        <f>'9'!$F$29</f>
      </c>
      <c r="L10" s="184">
        <f>'9'!$F$33</f>
      </c>
      <c r="M10" s="184">
        <f>'9'!$F$34</f>
      </c>
      <c r="N10" s="185">
        <f>'9'!$F$16</f>
      </c>
      <c r="O10">
        <v>9</v>
      </c>
    </row>
    <row r="11" spans="1:15" x14ac:dyDescent="0.35">
      <c r="A11" s="183">
        <f>'10'!$E$3</f>
      </c>
      <c r="B11">
        <f>'10'!$O$5</f>
      </c>
      <c r="C11">
        <f>'10'!$S$5</f>
      </c>
      <c r="D11">
        <f>'10'!$W$5</f>
      </c>
      <c r="E11" s="184">
        <f>'10'!$D$9</f>
      </c>
      <c r="F11" s="184">
        <f>'10'!$D$11</f>
      </c>
      <c r="G11" s="184">
        <f>'10'!$D$13</f>
      </c>
      <c r="H11">
        <f>'10'!$V$7</f>
      </c>
      <c r="I11" s="184">
        <f>'10'!$F$17</f>
      </c>
      <c r="J11" s="184">
        <f>'10'!$Z$29</f>
      </c>
      <c r="K11" s="184">
        <f>'10'!$F$29</f>
      </c>
      <c r="L11" s="184">
        <f>'10'!$F$33</f>
      </c>
      <c r="M11" s="184">
        <f>'10'!$F$34</f>
      </c>
      <c r="N11" s="185">
        <f>'10'!$F$16</f>
      </c>
      <c r="O11">
        <v>10</v>
      </c>
    </row>
    <row r="12" spans="1:15" x14ac:dyDescent="0.35">
      <c r="A12" s="183">
        <f>'11'!$E$3</f>
      </c>
      <c r="B12">
        <f>'11'!$O$5</f>
      </c>
      <c r="C12">
        <f>'11'!$S$5</f>
      </c>
      <c r="D12">
        <f>'11'!$W$5</f>
      </c>
      <c r="E12" s="184">
        <f>'11'!$D$9</f>
      </c>
      <c r="F12" s="184">
        <f>'11'!$D$11</f>
      </c>
      <c r="G12" s="184">
        <f>'11'!$D$13</f>
      </c>
      <c r="H12">
        <f>'11'!$V$7</f>
      </c>
      <c r="I12" s="184">
        <f>'11'!$F$17</f>
      </c>
      <c r="J12" s="184">
        <f>'11'!$Z$29</f>
      </c>
      <c r="K12" s="184">
        <f>'11'!$F$29</f>
      </c>
      <c r="L12" s="184">
        <f>'11'!$F$33</f>
      </c>
      <c r="M12" s="184">
        <f>'11'!$F$34</f>
      </c>
      <c r="N12" s="185">
        <f>'11'!$F$16</f>
      </c>
      <c r="O12">
        <v>11</v>
      </c>
    </row>
    <row r="13" spans="1:15" x14ac:dyDescent="0.35">
      <c r="A13" s="183">
        <f>'12'!$E$3</f>
      </c>
      <c r="B13">
        <f>'12'!$O$5</f>
      </c>
      <c r="C13">
        <f>'12'!$S$5</f>
      </c>
      <c r="D13">
        <f>'12'!$W$5</f>
      </c>
      <c r="E13" s="184">
        <f>'12'!$D$9</f>
      </c>
      <c r="F13" s="184">
        <f>'12'!$D$11</f>
      </c>
      <c r="G13" s="184">
        <f>'12'!$D$13</f>
      </c>
      <c r="H13">
        <f>'12'!$V$7</f>
      </c>
      <c r="I13" s="184">
        <f>'12'!$F$17</f>
      </c>
      <c r="J13" s="184">
        <f>'12'!$Z$29</f>
      </c>
      <c r="K13" s="184">
        <f>'12'!$F$29</f>
      </c>
      <c r="L13" s="184">
        <f>'12'!$F$33</f>
      </c>
      <c r="M13" s="184">
        <f>'12'!$F$34</f>
      </c>
      <c r="N13" s="185">
        <f>'12'!$F$16</f>
      </c>
      <c r="O13">
        <v>12</v>
      </c>
    </row>
    <row r="14" spans="1:15" x14ac:dyDescent="0.35">
      <c r="A14" s="183">
        <f>'13'!$E$3</f>
      </c>
      <c r="B14">
        <f>'13'!$O$5</f>
      </c>
      <c r="C14">
        <f>'13'!$S$5</f>
      </c>
      <c r="D14">
        <f>'13'!$W$5</f>
      </c>
      <c r="E14" s="184">
        <f>'13'!$D$9</f>
      </c>
      <c r="F14" s="184">
        <f>'13'!$D$11</f>
      </c>
      <c r="G14" s="184">
        <f>'13'!$D$13</f>
      </c>
      <c r="H14">
        <f>'13'!$V$7</f>
      </c>
      <c r="I14" s="184">
        <f>'13'!$F$17</f>
      </c>
      <c r="J14" s="184">
        <f>'13'!$Z$29</f>
      </c>
      <c r="K14" s="184">
        <f>'13'!$F$29</f>
      </c>
      <c r="L14" s="184">
        <f>'13'!$F$33</f>
      </c>
      <c r="M14" s="184">
        <f>'13'!$F$34</f>
      </c>
      <c r="N14" s="185">
        <f>'13'!$F$16</f>
      </c>
      <c r="O14">
        <v>13</v>
      </c>
    </row>
    <row r="15" spans="1:15" x14ac:dyDescent="0.35">
      <c r="A15" s="183">
        <f>'14'!$E$3</f>
      </c>
      <c r="B15">
        <f>'14'!$O$5</f>
      </c>
      <c r="C15">
        <f>'14'!$S$5</f>
      </c>
      <c r="D15">
        <f>'14'!$W$5</f>
      </c>
      <c r="E15" s="184">
        <f>'14'!$D$9</f>
      </c>
      <c r="F15" s="184">
        <f>'14'!$D$11</f>
      </c>
      <c r="G15" s="184">
        <f>'14'!$D$13</f>
      </c>
      <c r="H15">
        <f>'14'!$V$7</f>
      </c>
      <c r="I15" s="184">
        <f>'14'!$F$17</f>
      </c>
      <c r="J15" s="184">
        <f>'14'!$Z$29</f>
      </c>
      <c r="K15" s="184">
        <f>'14'!$F$29</f>
      </c>
      <c r="L15" s="184">
        <f>'14'!$F$33</f>
      </c>
      <c r="M15" s="184">
        <f>'14'!$F$34</f>
      </c>
      <c r="N15" s="185">
        <f>'14'!$F$16</f>
      </c>
      <c r="O15">
        <v>14</v>
      </c>
    </row>
    <row r="16" spans="1:15" x14ac:dyDescent="0.35">
      <c r="A16" s="183">
        <f>'15'!$E$3</f>
      </c>
      <c r="B16">
        <f>'15'!$O$5</f>
      </c>
      <c r="C16">
        <f>'15'!$S$5</f>
      </c>
      <c r="D16">
        <f>'15'!$W$5</f>
      </c>
      <c r="E16" s="184">
        <f>'15'!$D$9</f>
      </c>
      <c r="F16" s="184">
        <f>'15'!$D$11</f>
      </c>
      <c r="G16" s="184">
        <f>'15'!$D$13</f>
      </c>
      <c r="H16">
        <f>'15'!$V$7</f>
      </c>
      <c r="I16" s="184">
        <f>'15'!$F$17</f>
      </c>
      <c r="J16" s="184">
        <f>'15'!$Z$29</f>
      </c>
      <c r="K16" s="184">
        <f>'15'!$F$29</f>
      </c>
      <c r="L16" s="184">
        <f>'15'!$F$33</f>
      </c>
      <c r="M16" s="184">
        <f>'15'!$F$34</f>
      </c>
      <c r="N16" s="185">
        <f>'15'!$F$16</f>
      </c>
      <c r="O16">
        <v>15</v>
      </c>
    </row>
    <row r="17" spans="1:15" x14ac:dyDescent="0.35">
      <c r="A17" s="183">
        <f>'16'!$E$3</f>
      </c>
      <c r="B17">
        <f>'16'!$O$5</f>
      </c>
      <c r="C17">
        <f>'16'!$S$5</f>
      </c>
      <c r="D17">
        <f>'16'!$W$5</f>
      </c>
      <c r="E17" s="184">
        <f>'16'!$D$9</f>
      </c>
      <c r="F17" s="184">
        <f>'16'!$D$11</f>
      </c>
      <c r="G17" s="184">
        <f>'16'!$D$13</f>
      </c>
      <c r="H17">
        <f>'16'!$V$7</f>
      </c>
      <c r="I17" s="184">
        <f>'16'!$F$17</f>
      </c>
      <c r="J17" s="184">
        <f>'16'!$Z$29</f>
      </c>
      <c r="K17" s="184">
        <f>'16'!$F$29</f>
      </c>
      <c r="L17" s="184">
        <f>'16'!$F$33</f>
      </c>
      <c r="M17" s="184">
        <f>'16'!$F$34</f>
      </c>
      <c r="N17" s="185">
        <f>'16'!$F$16</f>
      </c>
      <c r="O17">
        <v>16</v>
      </c>
    </row>
    <row r="18" spans="1:15" x14ac:dyDescent="0.35">
      <c r="A18" s="183">
        <f>'17'!$E$3</f>
      </c>
      <c r="B18">
        <f>'17'!$O$5</f>
      </c>
      <c r="C18">
        <f>'17'!$S$5</f>
      </c>
      <c r="D18">
        <f>'17'!$W$5</f>
      </c>
      <c r="E18" s="184">
        <f>'17'!$D$9</f>
      </c>
      <c r="F18" s="184">
        <f>'17'!$D$11</f>
      </c>
      <c r="G18" s="184">
        <f>'17'!$D$13</f>
      </c>
      <c r="H18">
        <f>'17'!$V$7</f>
      </c>
      <c r="I18" s="184">
        <f>'17'!$F$17</f>
      </c>
      <c r="J18" s="184">
        <f>'17'!$Z$29</f>
      </c>
      <c r="K18" s="184">
        <f>'17'!$F$29</f>
      </c>
      <c r="L18" s="184">
        <f>'17'!$F$33</f>
      </c>
      <c r="M18" s="184">
        <f>'17'!$F$34</f>
      </c>
      <c r="N18" s="185">
        <f>'17'!$F$16</f>
      </c>
      <c r="O18">
        <v>17</v>
      </c>
    </row>
    <row r="19" spans="1:15" x14ac:dyDescent="0.35">
      <c r="A19" s="183">
        <f>'18'!$E$3</f>
      </c>
      <c r="B19">
        <f>'18'!$O$5</f>
      </c>
      <c r="C19">
        <f>'18'!$S$5</f>
      </c>
      <c r="D19">
        <f>'18'!$W$5</f>
      </c>
      <c r="E19" s="184">
        <f>'18'!$D$9</f>
      </c>
      <c r="F19" s="184">
        <f>'18'!$D$11</f>
      </c>
      <c r="G19" s="184">
        <f>'18'!$D$13</f>
      </c>
      <c r="H19">
        <f>'18'!$V$7</f>
      </c>
      <c r="I19" s="184">
        <f>'18'!$F$17</f>
      </c>
      <c r="J19" s="184">
        <f>'18'!$Z$29</f>
      </c>
      <c r="K19" s="184">
        <f>'18'!$F$29</f>
      </c>
      <c r="L19" s="184">
        <f>'18'!$F$33</f>
      </c>
      <c r="M19" s="184">
        <f>'18'!$F$34</f>
      </c>
      <c r="N19" s="185">
        <f>'18'!$F$16</f>
      </c>
      <c r="O19">
        <v>18</v>
      </c>
    </row>
    <row r="20" spans="1:15" x14ac:dyDescent="0.35">
      <c r="A20" s="183">
        <f>'19'!$E$3</f>
      </c>
      <c r="B20">
        <f>'19'!$O$5</f>
      </c>
      <c r="C20">
        <f>'19'!$S$5</f>
      </c>
      <c r="D20">
        <f>'19'!$W$5</f>
      </c>
      <c r="E20" s="184">
        <f>'19'!$D$9</f>
      </c>
      <c r="F20" s="184">
        <f>'19'!$D$11</f>
      </c>
      <c r="G20" s="184">
        <f>'19'!$D$13</f>
      </c>
      <c r="H20">
        <f>'19'!$V$7</f>
      </c>
      <c r="I20" s="184">
        <f>'19'!$F$17</f>
      </c>
      <c r="J20" s="184">
        <f>'19'!$Z$29</f>
      </c>
      <c r="K20" s="184">
        <f>'19'!$F$29</f>
      </c>
      <c r="L20" s="184">
        <f>'19'!$F$33</f>
      </c>
      <c r="M20" s="184">
        <f>'19'!$F$34</f>
      </c>
      <c r="N20" s="185">
        <f>'19'!$F$16</f>
      </c>
      <c r="O20">
        <v>19</v>
      </c>
    </row>
    <row r="21" spans="1:15" x14ac:dyDescent="0.35">
      <c r="A21" s="183">
        <f>'20'!$E$3</f>
      </c>
      <c r="B21">
        <f>'20'!$O$5</f>
      </c>
      <c r="C21">
        <f>'20'!$S$5</f>
      </c>
      <c r="D21">
        <f>'20'!$W$5</f>
      </c>
      <c r="E21" s="184">
        <f>'20'!$D$9</f>
      </c>
      <c r="F21" s="184">
        <f>'20'!$D$11</f>
      </c>
      <c r="G21" s="184">
        <f>'20'!$D$13</f>
      </c>
      <c r="H21">
        <f>'20'!$V$7</f>
      </c>
      <c r="I21" s="184">
        <f>'20'!$F$17</f>
      </c>
      <c r="J21" s="184">
        <f>'20'!$Z$29</f>
      </c>
      <c r="K21" s="184">
        <f>'20'!$F$29</f>
      </c>
      <c r="L21" s="184">
        <f>'20'!$F$33</f>
      </c>
      <c r="M21" s="184">
        <f>'20'!$F$34</f>
      </c>
      <c r="N21" s="185">
        <f>'20'!$F$16</f>
      </c>
      <c r="O21">
        <v>20</v>
      </c>
    </row>
    <row r="22" spans="1:15" x14ac:dyDescent="0.35">
      <c r="A22" s="183">
        <f>'21'!$E$3</f>
      </c>
      <c r="B22">
        <f>'21'!$O$5</f>
      </c>
      <c r="C22">
        <f>'21'!$S$5</f>
      </c>
      <c r="D22">
        <f>'21'!$W$5</f>
      </c>
      <c r="E22" s="184">
        <f>'21'!$D$9</f>
      </c>
      <c r="F22" s="184">
        <f>'21'!$D$11</f>
      </c>
      <c r="G22" s="184">
        <f>'21'!$D$13</f>
      </c>
      <c r="H22">
        <f>'21'!$V$7</f>
      </c>
      <c r="I22" s="184">
        <f>'21'!$F$17</f>
      </c>
      <c r="J22" s="184">
        <f>'21'!$Z$29</f>
      </c>
      <c r="K22" s="184">
        <f>'21'!$F$29</f>
      </c>
      <c r="L22" s="184">
        <f>'21'!$F$33</f>
      </c>
      <c r="M22" s="184">
        <f>'21'!$F$34</f>
      </c>
      <c r="N22" s="185">
        <f>'21'!$F$16</f>
      </c>
      <c r="O22">
        <v>21</v>
      </c>
    </row>
    <row r="23" spans="1:15" x14ac:dyDescent="0.35">
      <c r="A23" s="183">
        <f>'22'!$E$3</f>
      </c>
      <c r="B23">
        <f>'22'!$O$5</f>
      </c>
      <c r="C23">
        <f>'22'!$S$5</f>
      </c>
      <c r="D23">
        <f>'22'!$W$5</f>
      </c>
      <c r="E23" s="184">
        <f>'22'!$D$9</f>
      </c>
      <c r="F23" s="184">
        <f>'22'!$D$11</f>
      </c>
      <c r="G23" s="184">
        <f>'22'!$D$13</f>
      </c>
      <c r="H23">
        <f>'22'!$V$7</f>
      </c>
      <c r="I23" s="184">
        <f>'22'!$F$17</f>
      </c>
      <c r="J23" s="184">
        <f>'22'!$Z$29</f>
      </c>
      <c r="K23" s="184">
        <f>'22'!$F$29</f>
      </c>
      <c r="L23" s="184">
        <f>'22'!$F$33</f>
      </c>
      <c r="M23" s="184">
        <f>'22'!$F$34</f>
      </c>
      <c r="N23" s="185">
        <f>'22'!$F$16</f>
      </c>
      <c r="O23">
        <v>22</v>
      </c>
    </row>
    <row r="24" spans="1:15" x14ac:dyDescent="0.35">
      <c r="A24" s="183">
        <f>'23'!$E$3</f>
      </c>
      <c r="B24">
        <f>'23'!$O$5</f>
      </c>
      <c r="C24">
        <f>'23'!$S$5</f>
      </c>
      <c r="D24">
        <f>'23'!$W$5</f>
      </c>
      <c r="E24" s="184">
        <f>'23'!$D$9</f>
      </c>
      <c r="F24" s="184">
        <f>'23'!$D$11</f>
      </c>
      <c r="G24" s="184">
        <f>'23'!$D$13</f>
      </c>
      <c r="H24">
        <f>'23'!$V$7</f>
      </c>
      <c r="I24" s="184">
        <f>'23'!$F$17</f>
      </c>
      <c r="J24" s="184">
        <f>'23'!$Z$29</f>
      </c>
      <c r="K24" s="184">
        <f>'23'!$F$29</f>
      </c>
      <c r="L24" s="184">
        <f>'23'!$F$33</f>
      </c>
      <c r="M24" s="184">
        <f>'23'!$F$34</f>
      </c>
      <c r="N24" s="185">
        <f>'23'!$F$16</f>
      </c>
      <c r="O24">
        <v>23</v>
      </c>
    </row>
    <row r="25" spans="1:15" x14ac:dyDescent="0.35">
      <c r="A25" s="183">
        <f>'24'!$E$3</f>
      </c>
      <c r="B25">
        <f>'24'!$O$5</f>
      </c>
      <c r="C25">
        <f>'24'!$S$5</f>
      </c>
      <c r="D25">
        <f>'24'!$W$5</f>
      </c>
      <c r="E25" s="184">
        <f>'24'!$D$9</f>
      </c>
      <c r="F25" s="184">
        <f>'24'!$D$11</f>
      </c>
      <c r="G25" s="184">
        <f>'24'!$D$13</f>
      </c>
      <c r="H25">
        <f>'24'!$V$7</f>
      </c>
      <c r="I25" s="184">
        <f>'24'!$F$17</f>
      </c>
      <c r="J25" s="184">
        <f>'24'!$Z$29</f>
      </c>
      <c r="K25" s="184">
        <f>'24'!$F$29</f>
      </c>
      <c r="L25" s="184">
        <f>'24'!$F$33</f>
      </c>
      <c r="M25" s="184">
        <f>'24'!$F$34</f>
      </c>
      <c r="N25" s="185">
        <f>'24'!$F$16</f>
      </c>
      <c r="O25">
        <v>24</v>
      </c>
    </row>
    <row r="26" spans="1:15" x14ac:dyDescent="0.35">
      <c r="A26" s="183">
        <f>'25'!$E$3</f>
      </c>
      <c r="B26">
        <f>'25'!$O$5</f>
      </c>
      <c r="C26">
        <f>'25'!$S$5</f>
      </c>
      <c r="D26">
        <f>'25'!$W$5</f>
      </c>
      <c r="E26" s="184">
        <f>'25'!$D$9</f>
      </c>
      <c r="F26" s="184">
        <f>'25'!$D$11</f>
      </c>
      <c r="G26" s="184">
        <f>'25'!$D$13</f>
      </c>
      <c r="H26">
        <f>'25'!$V$7</f>
      </c>
      <c r="I26" s="184">
        <f>'25'!$F$17</f>
      </c>
      <c r="J26" s="184">
        <f>'25'!$Z$29</f>
      </c>
      <c r="K26" s="184">
        <f>'25'!$F$29</f>
      </c>
      <c r="L26" s="184">
        <f>'25'!$F$33</f>
      </c>
      <c r="M26" s="184">
        <f>'25'!$F$34</f>
      </c>
      <c r="N26" s="185">
        <f>'25'!$F$16</f>
      </c>
      <c r="O26">
        <v>25</v>
      </c>
    </row>
    <row r="27" spans="1:15" x14ac:dyDescent="0.35">
      <c r="A27" s="183">
        <f>'26'!$E$3</f>
      </c>
      <c r="B27">
        <f>'26'!$O$5</f>
      </c>
      <c r="C27">
        <f>'26'!$S$5</f>
      </c>
      <c r="D27">
        <f>'26'!$W$5</f>
      </c>
      <c r="E27" s="184">
        <f>'26'!$D$9</f>
      </c>
      <c r="F27" s="184">
        <f>'26'!$D$11</f>
      </c>
      <c r="G27" s="184">
        <f>'26'!$D$13</f>
      </c>
      <c r="H27">
        <f>'26'!$V$7</f>
      </c>
      <c r="I27" s="184">
        <f>'26'!$F$17</f>
      </c>
      <c r="J27" s="184">
        <f>'26'!$Z$29</f>
      </c>
      <c r="K27" s="184">
        <f>'26'!$F$29</f>
      </c>
      <c r="L27" s="184">
        <f>'26'!$F$33</f>
      </c>
      <c r="M27" s="184">
        <f>'26'!$F$34</f>
      </c>
      <c r="N27" s="185">
        <f>'26'!$F$16</f>
      </c>
      <c r="O27">
        <v>26</v>
      </c>
    </row>
    <row r="28" spans="1:15" x14ac:dyDescent="0.35">
      <c r="A28" s="183">
        <f>'27'!$E$3</f>
      </c>
      <c r="B28">
        <f>'27'!$O$5</f>
      </c>
      <c r="C28">
        <f>'27'!$S$5</f>
      </c>
      <c r="D28">
        <f>'27'!$W$5</f>
      </c>
      <c r="E28" s="184">
        <f>'27'!$D$9</f>
      </c>
      <c r="F28" s="184">
        <f>'27'!$D$11</f>
      </c>
      <c r="G28" s="184">
        <f>'27'!$D$13</f>
      </c>
      <c r="H28">
        <f>'27'!$V$7</f>
      </c>
      <c r="I28" s="184">
        <f>'27'!$F$17</f>
      </c>
      <c r="J28" s="184">
        <f>'27'!$Z$29</f>
      </c>
      <c r="K28" s="184">
        <f>'27'!$F$29</f>
      </c>
      <c r="L28" s="184">
        <f>'27'!$F$33</f>
      </c>
      <c r="M28" s="184">
        <f>'27'!$F$34</f>
      </c>
      <c r="N28" s="185">
        <f>'27'!$F$16</f>
      </c>
      <c r="O28">
        <v>27</v>
      </c>
    </row>
    <row r="29" spans="1:15" x14ac:dyDescent="0.35">
      <c r="A29" s="183">
        <f>'28'!$E$3</f>
      </c>
      <c r="B29">
        <f>'28'!$O$5</f>
      </c>
      <c r="C29">
        <f>'28'!$S$5</f>
      </c>
      <c r="D29">
        <f>'28'!$W$5</f>
      </c>
      <c r="E29" s="184">
        <f>'28'!$D$9</f>
      </c>
      <c r="F29" s="184">
        <f>'28'!$D$11</f>
      </c>
      <c r="G29" s="184">
        <f>'28'!$D$13</f>
      </c>
      <c r="H29">
        <f>'28'!$V$7</f>
      </c>
      <c r="I29" s="184">
        <f>'28'!$F$17</f>
      </c>
      <c r="J29" s="184">
        <f>'28'!$Z$29</f>
      </c>
      <c r="K29" s="184">
        <f>'28'!$F$29</f>
      </c>
      <c r="L29" s="184">
        <f>'28'!$F$33</f>
      </c>
      <c r="M29" s="184">
        <f>'28'!$F$34</f>
      </c>
      <c r="N29" s="185">
        <f>'28'!$F$16</f>
      </c>
      <c r="O29">
        <v>28</v>
      </c>
    </row>
    <row r="30" spans="1:15" x14ac:dyDescent="0.35">
      <c r="A30" s="183">
        <f>'29'!$E$3</f>
      </c>
      <c r="B30">
        <f>'29'!$O$5</f>
      </c>
      <c r="C30">
        <f>'29'!$S$5</f>
      </c>
      <c r="D30">
        <f>'29'!$W$5</f>
      </c>
      <c r="E30" s="184">
        <f>'29'!$D$9</f>
      </c>
      <c r="F30" s="184">
        <f>'29'!$D$11</f>
      </c>
      <c r="G30" s="184">
        <f>'29'!$D$13</f>
      </c>
      <c r="H30">
        <f>'29'!$V$7</f>
      </c>
      <c r="I30" s="184">
        <f>'29'!$F$17</f>
      </c>
      <c r="J30" s="184">
        <f>'29'!$Z$29</f>
      </c>
      <c r="K30" s="184">
        <f>'29'!$F$29</f>
      </c>
      <c r="L30" s="184">
        <f>'29'!$F$33</f>
      </c>
      <c r="M30" s="184">
        <f>'29'!$F$34</f>
      </c>
      <c r="N30" s="185">
        <f>'29'!$F$16</f>
      </c>
      <c r="O30">
        <v>29</v>
      </c>
    </row>
    <row r="31" spans="1:15" x14ac:dyDescent="0.35">
      <c r="A31" s="183">
        <f>'30'!$E$3</f>
      </c>
      <c r="B31">
        <f>'30'!$O$5</f>
      </c>
      <c r="C31">
        <f>'30'!$S$5</f>
      </c>
      <c r="D31">
        <f>'30'!$W$5</f>
      </c>
      <c r="E31" s="184">
        <f>'30'!$D$9</f>
      </c>
      <c r="F31" s="184">
        <f>'30'!$D$11</f>
      </c>
      <c r="G31" s="184">
        <f>'30'!$D$13</f>
      </c>
      <c r="H31">
        <f>'30'!$V$7</f>
      </c>
      <c r="I31" s="184">
        <f>'30'!$F$17</f>
      </c>
      <c r="J31" s="184">
        <f>'30'!$Z$29</f>
      </c>
      <c r="K31" s="184">
        <f>'30'!$F$29</f>
      </c>
      <c r="L31" s="184">
        <f>'30'!$F$33</f>
      </c>
      <c r="M31" s="184">
        <f>'30'!$F$34</f>
      </c>
      <c r="N31" s="185">
        <f>'30'!$F$16</f>
      </c>
      <c r="O31">
        <v>30</v>
      </c>
    </row>
    <row r="32" spans="1:15" x14ac:dyDescent="0.35">
      <c r="A32" s="183">
        <f>'31'!$E$3</f>
      </c>
      <c r="B32">
        <f>'31'!$O$5</f>
      </c>
      <c r="C32">
        <f>'31'!$S$5</f>
      </c>
      <c r="D32">
        <f>'31'!$W$5</f>
      </c>
      <c r="E32" s="184">
        <f>'31'!$D$9</f>
      </c>
      <c r="F32" s="184">
        <f>'31'!$D$11</f>
      </c>
      <c r="G32" s="184">
        <f>'31'!$D$13</f>
      </c>
      <c r="H32">
        <f>'31'!$V$7</f>
      </c>
      <c r="I32" s="184">
        <f>'31'!$F$17</f>
      </c>
      <c r="J32" s="184">
        <f>'31'!$Z$29</f>
      </c>
      <c r="K32" s="184">
        <f>'31'!$F$29</f>
      </c>
      <c r="L32" s="184">
        <f>'31'!$F$33</f>
      </c>
      <c r="M32" s="184">
        <f>'31'!$F$34</f>
      </c>
      <c r="N32" s="185">
        <f>'31'!$F$16</f>
      </c>
      <c r="O32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32DA-203C-40CD-AF1F-D00BA366B9A7}">
  <sheetPr/>
  <sheetViews>
    <sheetView workbookViewId="0">
      <selection activeCell="F13" sqref="F13"/>
    </sheetView>
  </sheetViews>
  <sheetFormatPr defaultColWidth="9.1796875" defaultRowHeight="14.5" x14ac:dyDescent="0.35"/>
  <cols>
    <col min="2" max="2" width="8.81640625" customWidth="1"/>
  </cols>
  <sheetData>
    <row r="6" spans="10:19" x14ac:dyDescent="0.35">
      <c r="J6" s="378">
        <f>L7+'4'!J6:K6</f>
      </c>
      <c r="K6" s="379"/>
      <c r="R6" s="380">
        <f>#REF!+'5'!R6:S6</f>
      </c>
      <c r="S6" s="381"/>
    </row>
    <row r="7" spans="10:19" x14ac:dyDescent="0.35">
      <c r="J7" s="185">
        <f>F16+'4'!F42:G42</f>
      </c>
      <c r="R7" s="380">
        <f>#REF!+'5'!R7:S7</f>
      </c>
      <c r="S7" s="381"/>
    </row>
    <row r="8" spans="10:19" x14ac:dyDescent="0.35">
      <c r="R8" s="380">
        <f>#REF!+'5'!R8:S8</f>
      </c>
      <c r="S8" s="381"/>
    </row>
    <row r="9" spans="10:19" x14ac:dyDescent="0.35">
      <c r="R9" s="380">
        <f>#REF!+'5'!R9:S9</f>
      </c>
      <c r="S9" s="381"/>
    </row>
    <row r="10" spans="10:19" x14ac:dyDescent="0.35">
      <c r="R10" s="380">
        <f>#REF!+'5'!R10:S10</f>
      </c>
      <c r="S10" s="381"/>
    </row>
    <row r="11" spans="10:19" x14ac:dyDescent="0.35">
      <c r="R11" s="380">
        <f>#REF!+'5'!R11:S11</f>
      </c>
      <c r="S11" s="381"/>
    </row>
    <row r="12" spans="10:19" x14ac:dyDescent="0.35">
      <c r="R12" s="380">
        <f>(R10-R11)+'5'!R12:S12</f>
      </c>
      <c r="S12" s="381"/>
    </row>
    <row r="13" spans="10:19" x14ac:dyDescent="0.35">
      <c r="R13" s="382">
        <f>#REF!+'5'!R13:S13</f>
      </c>
      <c r="S13" s="383"/>
    </row>
    <row r="14" spans="10:19" x14ac:dyDescent="0.35">
      <c r="R14" s="380">
        <f>#REF!+'5'!R14:S14</f>
      </c>
      <c r="S14" s="381"/>
    </row>
    <row r="15" spans="10:19" x14ac:dyDescent="0.35">
      <c r="R15" s="380">
        <f>(128.55+29.42+665.77)/7++'5'!R15:S15</f>
      </c>
      <c r="S15" s="381"/>
    </row>
    <row r="16" spans="10:19" ht="15" thickBot="1" x14ac:dyDescent="0.4">
      <c r="R16" s="384">
        <f>#REF!+'5'!R16:S16</f>
      </c>
      <c r="S16" s="385"/>
    </row>
    <row r="41" spans="6:7" x14ac:dyDescent="0.35">
      <c r="F41" s="185">
        <f>H42+'4'!F41:G41</f>
      </c>
      <c r="G41" s="185"/>
    </row>
  </sheetData>
  <mergeCells count="12">
    <mergeCell ref="R15:S15"/>
    <mergeCell ref="R16:S16"/>
    <mergeCell ref="R6:S6"/>
    <mergeCell ref="R7:S7"/>
    <mergeCell ref="R8:S8"/>
    <mergeCell ref="R9:S9"/>
    <mergeCell ref="R10:S10"/>
    <mergeCell ref="J6:K6"/>
    <mergeCell ref="R11:S11"/>
    <mergeCell ref="R12:S12"/>
    <mergeCell ref="R13:S13"/>
    <mergeCell ref="R14:S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EFD9-7BE0-496B-8914-233A9F07B9A7}">
  <sheetPr/>
  <sheetViews>
    <sheetView topLeftCell="B1" workbookViewId="0">
      <pane ySplit="1" topLeftCell="A2" activePane="bottomLeft" state="frozen"/>
      <selection pane="bottomLeft" activeCell="M16" sqref="M16"/>
    </sheetView>
  </sheetViews>
  <sheetFormatPr defaultColWidth="9.1796875" defaultRowHeight="14.5" x14ac:dyDescent="0.35"/>
  <cols>
    <col min="1" max="1" width="9.1796875" style="230"/>
    <col min="2" max="2" width="11.81640625" customWidth="1"/>
    <col min="3" max="3" width="11" customWidth="1"/>
    <col min="4" max="4" width="10.81640625" customWidth="1"/>
    <col min="9" max="9" width="4.453125" customWidth="1"/>
    <col min="12" max="12" width="13.81640625" customWidth="1"/>
    <col min="13" max="13" width="37.453125" customWidth="1"/>
    <col min="14" max="14" width="20.1796875" customWidth="1"/>
  </cols>
  <sheetData>
    <row r="1" spans="1:14" ht="15" thickTop="1" x14ac:dyDescent="0.35">
      <c r="A1" t="s" s="193">
        <v>115</v>
      </c>
      <c r="B1" t="s" s="192">
        <v>223</v>
      </c>
      <c r="C1" t="s" s="192">
        <v>11</v>
      </c>
      <c r="D1" t="s" s="398">
        <v>254</v>
      </c>
      <c r="E1" s="399"/>
      <c r="F1" s="399"/>
      <c r="G1" s="399"/>
      <c r="H1" s="399"/>
      <c r="I1" s="400"/>
      <c r="J1" t="s" s="401">
        <v>253</v>
      </c>
      <c r="K1" s="402"/>
      <c r="L1" s="403"/>
      <c r="M1" t="s" s="191">
        <v>256</v>
      </c>
      <c r="N1" t="s" s="198">
        <v>257</v>
      </c>
    </row>
    <row r="2" spans="1:14" x14ac:dyDescent="0.35">
      <c r="A2" s="231">
        <v>1</v>
      </c>
      <c r="B2" s="194">
        <v>42987</v>
      </c>
      <c r="C2" s="204">
        <v>1</v>
      </c>
      <c r="D2" t="s" s="391">
        <v>5</v>
      </c>
      <c r="E2" s="391"/>
      <c r="F2" s="391"/>
      <c r="G2" s="391"/>
      <c r="H2" s="391"/>
      <c r="I2" s="391"/>
      <c r="J2" s="392">
        <v>112</v>
      </c>
      <c r="K2" s="392"/>
      <c r="L2" s="393"/>
      <c r="M2" t="s" s="197">
        <v>252</v>
      </c>
      <c r="N2" s="196"/>
    </row>
    <row r="3" spans="1:14" x14ac:dyDescent="0.35">
      <c r="A3" s="231">
        <v>2</v>
      </c>
      <c r="B3" s="194">
        <v>42987</v>
      </c>
      <c r="C3" s="208">
        <v>2</v>
      </c>
      <c r="D3" t="s" s="388">
        <v>240</v>
      </c>
      <c r="E3" s="388"/>
      <c r="F3" s="388"/>
      <c r="G3" s="388"/>
      <c r="H3" s="388"/>
      <c r="I3" s="388"/>
      <c r="J3" s="389">
        <v>15.77</v>
      </c>
      <c r="K3" s="389"/>
      <c r="L3" s="390"/>
      <c r="M3" t="s" s="197">
        <v>252</v>
      </c>
      <c r="N3" s="196"/>
    </row>
    <row r="4" spans="1:14" x14ac:dyDescent="0.35">
      <c r="A4" s="231">
        <v>3</v>
      </c>
      <c r="B4" s="194">
        <v>42987</v>
      </c>
      <c r="C4" s="208">
        <v>3</v>
      </c>
      <c r="D4" t="s" s="388">
        <v>217</v>
      </c>
      <c r="E4" s="388"/>
      <c r="F4" s="388"/>
      <c r="G4" s="388"/>
      <c r="H4" s="388"/>
      <c r="I4" s="388"/>
      <c r="J4" s="389">
        <v>150</v>
      </c>
      <c r="K4" s="389"/>
      <c r="L4" s="390"/>
      <c r="M4" t="s" s="197">
        <v>255</v>
      </c>
      <c r="N4" s="196"/>
    </row>
    <row r="5" spans="1:14" x14ac:dyDescent="0.35">
      <c r="A5" s="231">
        <v>4</v>
      </c>
      <c r="B5" s="194">
        <v>42987</v>
      </c>
      <c r="C5" s="208">
        <v>4</v>
      </c>
      <c r="D5" t="s" s="388">
        <v>241</v>
      </c>
      <c r="E5" s="388"/>
      <c r="F5" s="388"/>
      <c r="G5" s="388"/>
      <c r="H5" s="388"/>
      <c r="I5" s="388"/>
      <c r="J5" s="389">
        <v>1</v>
      </c>
      <c r="K5" s="389"/>
      <c r="L5" s="390"/>
      <c r="M5" t="s" s="197">
        <v>252</v>
      </c>
      <c r="N5" s="196"/>
    </row>
    <row r="6" spans="1:14" x14ac:dyDescent="0.35">
      <c r="A6" s="231">
        <v>5</v>
      </c>
      <c r="B6" s="194">
        <v>42987</v>
      </c>
      <c r="C6" s="208">
        <v>5</v>
      </c>
      <c r="D6" t="s" s="394">
        <v>218</v>
      </c>
      <c r="E6" s="394"/>
      <c r="F6" s="394"/>
      <c r="G6" s="394"/>
      <c r="H6" s="394"/>
      <c r="I6" s="394"/>
      <c r="J6" s="389">
        <v>22</v>
      </c>
      <c r="K6" s="389"/>
      <c r="L6" s="390"/>
      <c r="M6" t="s" s="197">
        <v>251</v>
      </c>
      <c r="N6" s="196"/>
    </row>
    <row r="7" spans="1:14" x14ac:dyDescent="0.35">
      <c r="A7" s="231">
        <v>6</v>
      </c>
      <c r="B7" s="194">
        <v>42987</v>
      </c>
      <c r="C7" s="208">
        <v>6</v>
      </c>
      <c r="D7" t="s" s="394">
        <v>222</v>
      </c>
      <c r="E7" s="394"/>
      <c r="F7" s="394"/>
      <c r="G7" s="394"/>
      <c r="H7" s="394"/>
      <c r="I7" s="394"/>
      <c r="J7" s="389">
        <v>723</v>
      </c>
      <c r="K7" s="389"/>
      <c r="L7" s="390"/>
      <c r="M7" t="s" s="197">
        <v>246</v>
      </c>
      <c r="N7" s="196"/>
    </row>
    <row r="8" spans="1:14" x14ac:dyDescent="0.35">
      <c r="A8" s="231">
        <v>7</v>
      </c>
      <c r="B8" s="194">
        <v>42987</v>
      </c>
      <c r="C8" s="213">
        <v>7</v>
      </c>
      <c r="D8" t="s" s="394">
        <v>221</v>
      </c>
      <c r="E8" s="394"/>
      <c r="F8" s="394"/>
      <c r="G8" s="394"/>
      <c r="H8" s="394"/>
      <c r="I8" s="394"/>
      <c r="J8" s="389">
        <v>827</v>
      </c>
      <c r="K8" s="389"/>
      <c r="L8" s="390"/>
      <c r="M8" t="s" s="197">
        <v>246</v>
      </c>
      <c r="N8" s="196"/>
    </row>
    <row r="9" spans="1:14" x14ac:dyDescent="0.35">
      <c r="A9" s="231">
        <v>8</v>
      </c>
      <c r="B9" s="194">
        <v>42987</v>
      </c>
      <c r="C9" s="214">
        <v>8</v>
      </c>
      <c r="D9" t="s" s="395">
        <v>220</v>
      </c>
      <c r="E9" s="395"/>
      <c r="F9" s="395"/>
      <c r="G9" s="395"/>
      <c r="H9" s="395"/>
      <c r="I9" s="395"/>
      <c r="J9" s="396">
        <v>165</v>
      </c>
      <c r="K9" s="396"/>
      <c r="L9" s="397"/>
      <c r="M9" t="s" s="197">
        <v>246</v>
      </c>
      <c r="N9" s="196"/>
    </row>
    <row r="10" spans="1:14" x14ac:dyDescent="0.35">
      <c r="A10" s="231">
        <v>9</v>
      </c>
      <c r="B10" s="194">
        <v>42987</v>
      </c>
      <c r="C10" s="226">
        <v>9</v>
      </c>
      <c r="D10" t="s" s="394">
        <v>242</v>
      </c>
      <c r="E10" s="394"/>
      <c r="F10" s="394"/>
      <c r="G10" s="394"/>
      <c r="H10" s="394"/>
      <c r="I10" s="394"/>
      <c r="J10" s="389">
        <v>21.78</v>
      </c>
      <c r="K10" s="389"/>
      <c r="L10" s="390"/>
      <c r="M10" t="s" s="197">
        <v>247</v>
      </c>
      <c r="N10" s="196"/>
    </row>
    <row r="11" spans="1:14" x14ac:dyDescent="0.35">
      <c r="A11" s="231">
        <v>10</v>
      </c>
      <c r="B11" s="194">
        <v>42987</v>
      </c>
      <c r="C11" s="195">
        <v>10</v>
      </c>
      <c r="D11" t="s" s="386">
        <v>258</v>
      </c>
      <c r="E11" s="386"/>
      <c r="F11" s="386"/>
      <c r="G11" s="386"/>
      <c r="H11" s="386"/>
      <c r="I11" s="386"/>
      <c r="J11" s="387">
        <v>1000</v>
      </c>
      <c r="K11" s="387"/>
      <c r="L11" s="387"/>
      <c r="M11" t="s" s="197">
        <v>243</v>
      </c>
      <c r="N11" t="s" s="196">
        <v>260</v>
      </c>
    </row>
    <row r="12" spans="1:14" x14ac:dyDescent="0.35">
      <c r="A12" s="231">
        <v>11</v>
      </c>
      <c r="B12" s="194">
        <v>42987</v>
      </c>
      <c r="C12" s="195">
        <v>11</v>
      </c>
      <c r="D12" t="s" s="386">
        <v>259</v>
      </c>
      <c r="E12" s="386"/>
      <c r="F12" s="386"/>
      <c r="G12" s="386"/>
      <c r="H12" s="386"/>
      <c r="I12" s="386"/>
      <c r="J12" s="387">
        <v>2000</v>
      </c>
      <c r="K12" s="387"/>
      <c r="L12" s="387"/>
      <c r="M12" t="s" s="197">
        <v>243</v>
      </c>
      <c r="N12" t="s" s="196">
        <v>261</v>
      </c>
    </row>
    <row r="13" spans="1:14" x14ac:dyDescent="0.35">
      <c r="A13" s="231">
        <v>12</v>
      </c>
      <c r="B13" s="194">
        <v>42988</v>
      </c>
      <c r="C13" s="204">
        <v>1</v>
      </c>
      <c r="D13" t="s" s="391">
        <v>5</v>
      </c>
      <c r="E13" s="391"/>
      <c r="F13" s="391"/>
      <c r="G13" s="391"/>
      <c r="H13" s="391"/>
      <c r="I13" s="391"/>
      <c r="J13" s="392">
        <v>112</v>
      </c>
      <c r="K13" s="392"/>
      <c r="L13" s="393"/>
      <c r="M13" t="s" s="197">
        <v>252</v>
      </c>
      <c r="N13" s="196"/>
    </row>
    <row r="14" spans="1:14" x14ac:dyDescent="0.35">
      <c r="A14" s="231">
        <v>13</v>
      </c>
      <c r="B14" s="194"/>
      <c r="C14" s="208">
        <v>2</v>
      </c>
      <c r="D14" t="s" s="388">
        <v>218</v>
      </c>
      <c r="E14" s="388"/>
      <c r="F14" s="388"/>
      <c r="G14" s="388"/>
      <c r="H14" s="388"/>
      <c r="I14" s="388"/>
      <c r="J14" s="389">
        <v>16</v>
      </c>
      <c r="K14" s="389"/>
      <c r="L14" s="390"/>
      <c r="M14" t="s" s="197">
        <v>251</v>
      </c>
      <c r="N14" s="196"/>
    </row>
    <row r="15" spans="1:14" x14ac:dyDescent="0.35">
      <c r="A15" s="231">
        <v>14</v>
      </c>
      <c r="B15" s="194"/>
      <c r="C15" s="208">
        <v>3</v>
      </c>
      <c r="D15" t="s" s="388">
        <v>217</v>
      </c>
      <c r="E15" s="388"/>
      <c r="F15" s="388"/>
      <c r="G15" s="388"/>
      <c r="H15" s="388"/>
      <c r="I15" s="388"/>
      <c r="J15" s="389">
        <v>150</v>
      </c>
      <c r="K15" s="389"/>
      <c r="L15" s="390"/>
      <c r="M15" t="s" s="197">
        <v>255</v>
      </c>
      <c r="N15" s="196"/>
    </row>
    <row r="16" spans="1:14" x14ac:dyDescent="0.35">
      <c r="A16" s="231">
        <v>15</v>
      </c>
      <c r="B16" s="194"/>
      <c r="C16" s="208">
        <v>4</v>
      </c>
      <c r="D16" t="s" s="388">
        <v>219</v>
      </c>
      <c r="E16" s="388"/>
      <c r="F16" s="388"/>
      <c r="G16" s="388"/>
      <c r="H16" s="388"/>
      <c r="I16" s="388"/>
      <c r="J16" s="389">
        <v>311</v>
      </c>
      <c r="K16" s="389"/>
      <c r="L16" s="390"/>
      <c r="M16" t="s" s="197">
        <v>246</v>
      </c>
      <c r="N16" s="196"/>
    </row>
    <row r="17" spans="1:14" x14ac:dyDescent="0.35">
      <c r="A17" s="231">
        <v>16</v>
      </c>
      <c r="B17" s="194">
        <v>42989</v>
      </c>
      <c r="C17" s="195"/>
      <c r="D17" t="s" s="386">
        <v>262</v>
      </c>
      <c r="E17" s="386"/>
      <c r="F17" s="386"/>
      <c r="G17" s="386"/>
      <c r="H17" s="386"/>
      <c r="I17" s="386"/>
      <c r="J17" s="387">
        <v>15000</v>
      </c>
      <c r="K17" s="387"/>
      <c r="L17" s="387"/>
      <c r="M17" t="s" s="197">
        <v>248</v>
      </c>
      <c r="N17" s="196"/>
    </row>
    <row r="18" spans="1:14" x14ac:dyDescent="0.35">
      <c r="A18" s="231">
        <v>17</v>
      </c>
      <c r="B18" s="194"/>
      <c r="C18" s="195"/>
      <c r="D18" t="s" s="386">
        <v>262</v>
      </c>
      <c r="E18" s="386"/>
      <c r="F18" s="386"/>
      <c r="G18" s="386"/>
      <c r="H18" s="386"/>
      <c r="I18" s="386"/>
      <c r="J18" s="387">
        <v>3000</v>
      </c>
      <c r="K18" s="387"/>
      <c r="L18" s="387"/>
      <c r="M18" t="s" s="197">
        <v>249</v>
      </c>
      <c r="N18" s="196"/>
    </row>
    <row r="19" spans="1:14" x14ac:dyDescent="0.35">
      <c r="A19" s="231">
        <v>18</v>
      </c>
      <c r="B19" s="194"/>
      <c r="C19" s="195"/>
      <c r="D19" s="386"/>
      <c r="E19" s="386"/>
      <c r="F19" s="386"/>
      <c r="G19" s="386"/>
      <c r="H19" s="386"/>
      <c r="I19" s="386"/>
      <c r="J19" s="387"/>
      <c r="K19" s="387"/>
      <c r="L19" s="387"/>
      <c r="M19" s="197"/>
      <c r="N19" s="196"/>
    </row>
    <row r="20" spans="1:14" x14ac:dyDescent="0.35">
      <c r="A20" s="231">
        <v>19</v>
      </c>
      <c r="B20" s="194"/>
      <c r="C20" s="195"/>
      <c r="D20" s="386"/>
      <c r="E20" s="386"/>
      <c r="F20" s="386"/>
      <c r="G20" s="386"/>
      <c r="H20" s="386"/>
      <c r="I20" s="386"/>
      <c r="J20" s="387"/>
      <c r="K20" s="387"/>
      <c r="L20" s="387"/>
      <c r="M20" s="197"/>
      <c r="N20" s="196"/>
    </row>
    <row r="21" spans="1:14" x14ac:dyDescent="0.35">
      <c r="A21" s="231">
        <v>20</v>
      </c>
      <c r="B21" s="194"/>
      <c r="C21" s="195"/>
      <c r="D21" s="386"/>
      <c r="E21" s="386"/>
      <c r="F21" s="386"/>
      <c r="G21" s="386"/>
      <c r="H21" s="386"/>
      <c r="I21" s="386"/>
      <c r="J21" s="387"/>
      <c r="K21" s="387"/>
      <c r="L21" s="387"/>
      <c r="M21" s="197"/>
      <c r="N21" s="196"/>
    </row>
    <row r="22" spans="1:14" x14ac:dyDescent="0.35">
      <c r="A22" s="231">
        <v>21</v>
      </c>
      <c r="B22" s="194"/>
      <c r="C22" s="195"/>
      <c r="D22" s="386"/>
      <c r="E22" s="386"/>
      <c r="F22" s="386"/>
      <c r="G22" s="386"/>
      <c r="H22" s="386"/>
      <c r="I22" s="386"/>
      <c r="J22" s="387"/>
      <c r="K22" s="387"/>
      <c r="L22" s="387"/>
      <c r="M22" s="197"/>
      <c r="N22" s="196"/>
    </row>
    <row r="23" spans="1:14" x14ac:dyDescent="0.35">
      <c r="A23" s="231">
        <v>22</v>
      </c>
      <c r="B23" s="194"/>
      <c r="C23" s="195"/>
      <c r="D23" s="386"/>
      <c r="E23" s="386"/>
      <c r="F23" s="386"/>
      <c r="G23" s="386"/>
      <c r="H23" s="386"/>
      <c r="I23" s="386"/>
      <c r="J23" s="387"/>
      <c r="K23" s="387"/>
      <c r="L23" s="387"/>
      <c r="M23" s="197"/>
      <c r="N23" s="196"/>
    </row>
    <row r="24" spans="1:14" x14ac:dyDescent="0.35">
      <c r="A24" s="231">
        <v>23</v>
      </c>
      <c r="B24" s="194"/>
      <c r="C24" s="195"/>
      <c r="D24" s="386"/>
      <c r="E24" s="386"/>
      <c r="F24" s="386"/>
      <c r="G24" s="386"/>
      <c r="H24" s="386"/>
      <c r="I24" s="386"/>
      <c r="J24" s="387"/>
      <c r="K24" s="387"/>
      <c r="L24" s="387"/>
      <c r="M24" s="197"/>
      <c r="N24" s="196"/>
    </row>
    <row r="25" spans="1:14" x14ac:dyDescent="0.35">
      <c r="A25" s="231">
        <v>24</v>
      </c>
      <c r="B25" s="194"/>
      <c r="C25" s="195"/>
      <c r="D25" s="386"/>
      <c r="E25" s="386"/>
      <c r="F25" s="386"/>
      <c r="G25" s="386"/>
      <c r="H25" s="386"/>
      <c r="I25" s="386"/>
      <c r="J25" s="387"/>
      <c r="K25" s="387"/>
      <c r="L25" s="387"/>
      <c r="M25" s="197"/>
      <c r="N25" s="196"/>
    </row>
    <row r="26" spans="1:14" x14ac:dyDescent="0.35">
      <c r="A26" s="231">
        <v>25</v>
      </c>
      <c r="B26" s="194"/>
      <c r="C26" s="195"/>
      <c r="D26" s="386"/>
      <c r="E26" s="386"/>
      <c r="F26" s="386"/>
      <c r="G26" s="386"/>
      <c r="H26" s="386"/>
      <c r="I26" s="386"/>
      <c r="J26" s="387"/>
      <c r="K26" s="387"/>
      <c r="L26" s="387"/>
      <c r="M26" s="197"/>
      <c r="N26" s="196"/>
    </row>
    <row r="27" spans="1:14" x14ac:dyDescent="0.35">
      <c r="A27" s="231">
        <v>26</v>
      </c>
      <c r="B27" s="194"/>
      <c r="C27" s="195"/>
      <c r="D27" s="386"/>
      <c r="E27" s="386"/>
      <c r="F27" s="386"/>
      <c r="G27" s="386"/>
      <c r="H27" s="386"/>
      <c r="I27" s="386"/>
      <c r="J27" s="387"/>
      <c r="K27" s="387"/>
      <c r="L27" s="387"/>
      <c r="M27" s="197"/>
      <c r="N27" s="196"/>
    </row>
    <row r="28" spans="1:14" x14ac:dyDescent="0.35">
      <c r="A28" s="231">
        <v>27</v>
      </c>
      <c r="B28" s="194"/>
      <c r="C28" s="195"/>
      <c r="D28" s="386"/>
      <c r="E28" s="386"/>
      <c r="F28" s="386"/>
      <c r="G28" s="386"/>
      <c r="H28" s="386"/>
      <c r="I28" s="386"/>
      <c r="J28" s="387"/>
      <c r="K28" s="387"/>
      <c r="L28" s="387"/>
      <c r="M28" s="197"/>
      <c r="N28" s="196"/>
    </row>
    <row r="29" spans="1:14" x14ac:dyDescent="0.35">
      <c r="A29" s="231">
        <v>28</v>
      </c>
      <c r="B29" s="194"/>
      <c r="C29" s="195"/>
      <c r="D29" s="386"/>
      <c r="E29" s="386"/>
      <c r="F29" s="386"/>
      <c r="G29" s="386"/>
      <c r="H29" s="386"/>
      <c r="I29" s="386"/>
      <c r="J29" s="387"/>
      <c r="K29" s="387"/>
      <c r="L29" s="387"/>
      <c r="M29" s="197"/>
      <c r="N29" s="196"/>
    </row>
    <row r="30" spans="1:14" x14ac:dyDescent="0.35">
      <c r="A30" s="231">
        <v>29</v>
      </c>
      <c r="B30" s="194"/>
      <c r="C30" s="195"/>
      <c r="D30" s="386"/>
      <c r="E30" s="386"/>
      <c r="F30" s="386"/>
      <c r="G30" s="386"/>
      <c r="H30" s="386"/>
      <c r="I30" s="386"/>
      <c r="J30" s="387"/>
      <c r="K30" s="387"/>
      <c r="L30" s="387"/>
      <c r="M30" s="197"/>
      <c r="N30" s="196"/>
    </row>
    <row r="31" spans="1:14" x14ac:dyDescent="0.35">
      <c r="A31" s="231">
        <v>30</v>
      </c>
      <c r="B31" s="194"/>
      <c r="C31" s="195"/>
      <c r="D31" s="386"/>
      <c r="E31" s="386"/>
      <c r="F31" s="386"/>
      <c r="G31" s="386"/>
      <c r="H31" s="386"/>
      <c r="I31" s="386"/>
      <c r="J31" s="387"/>
      <c r="K31" s="387"/>
      <c r="L31" s="387"/>
      <c r="M31" s="197"/>
      <c r="N31" s="196"/>
    </row>
    <row r="32" spans="1:14" x14ac:dyDescent="0.35">
      <c r="A32" s="231">
        <v>31</v>
      </c>
      <c r="B32" s="194"/>
      <c r="C32" s="195"/>
      <c r="D32" s="386"/>
      <c r="E32" s="386"/>
      <c r="F32" s="386"/>
      <c r="G32" s="386"/>
      <c r="H32" s="386"/>
      <c r="I32" s="386"/>
      <c r="J32" s="387"/>
      <c r="K32" s="387"/>
      <c r="L32" s="387"/>
      <c r="M32" s="197"/>
      <c r="N32" s="196"/>
    </row>
    <row r="33" spans="1:14" x14ac:dyDescent="0.35">
      <c r="A33" s="231">
        <v>32</v>
      </c>
      <c r="B33" s="194"/>
      <c r="C33" s="195"/>
      <c r="D33" s="386"/>
      <c r="E33" s="386"/>
      <c r="F33" s="386"/>
      <c r="G33" s="386"/>
      <c r="H33" s="386"/>
      <c r="I33" s="386"/>
      <c r="J33" s="387"/>
      <c r="K33" s="387"/>
      <c r="L33" s="387"/>
      <c r="M33" s="197"/>
      <c r="N33" s="196"/>
    </row>
    <row r="34" spans="1:14" x14ac:dyDescent="0.35">
      <c r="A34" s="231">
        <v>33</v>
      </c>
      <c r="B34" s="194"/>
      <c r="C34" s="195"/>
      <c r="D34" s="386"/>
      <c r="E34" s="386"/>
      <c r="F34" s="386"/>
      <c r="G34" s="386"/>
      <c r="H34" s="386"/>
      <c r="I34" s="386"/>
      <c r="J34" s="387"/>
      <c r="K34" s="387"/>
      <c r="L34" s="387"/>
      <c r="M34" s="197"/>
      <c r="N34" s="196"/>
    </row>
    <row r="35" spans="1:14" x14ac:dyDescent="0.35">
      <c r="A35" s="231">
        <v>34</v>
      </c>
      <c r="B35" s="194"/>
      <c r="C35" s="195"/>
      <c r="D35" s="386"/>
      <c r="E35" s="386"/>
      <c r="F35" s="386"/>
      <c r="G35" s="386"/>
      <c r="H35" s="386"/>
      <c r="I35" s="386"/>
      <c r="J35" s="387"/>
      <c r="K35" s="387"/>
      <c r="L35" s="387"/>
      <c r="M35" s="197"/>
      <c r="N35" s="196"/>
    </row>
    <row r="36" spans="1:14" x14ac:dyDescent="0.35">
      <c r="A36" s="231">
        <v>35</v>
      </c>
      <c r="B36" s="194"/>
      <c r="C36" s="195"/>
      <c r="D36" s="386"/>
      <c r="E36" s="386"/>
      <c r="F36" s="386"/>
      <c r="G36" s="386"/>
      <c r="H36" s="386"/>
      <c r="I36" s="386"/>
      <c r="J36" s="387"/>
      <c r="K36" s="387"/>
      <c r="L36" s="387"/>
      <c r="M36" s="197"/>
      <c r="N36" s="196"/>
    </row>
    <row r="37" spans="1:14" x14ac:dyDescent="0.35">
      <c r="A37" s="231">
        <v>36</v>
      </c>
      <c r="B37" s="194"/>
      <c r="C37" s="195"/>
      <c r="D37" s="386"/>
      <c r="E37" s="386"/>
      <c r="F37" s="386"/>
      <c r="G37" s="386"/>
      <c r="H37" s="386"/>
      <c r="I37" s="386"/>
      <c r="J37" s="387"/>
      <c r="K37" s="387"/>
      <c r="L37" s="387"/>
      <c r="M37" s="197"/>
      <c r="N37" s="196"/>
    </row>
    <row r="38" spans="1:14" x14ac:dyDescent="0.35">
      <c r="A38" s="231">
        <v>37</v>
      </c>
      <c r="B38" s="194"/>
      <c r="C38" s="195"/>
      <c r="D38" s="386"/>
      <c r="E38" s="386"/>
      <c r="F38" s="386"/>
      <c r="G38" s="386"/>
      <c r="H38" s="386"/>
      <c r="I38" s="386"/>
      <c r="J38" s="387"/>
      <c r="K38" s="387"/>
      <c r="L38" s="387"/>
      <c r="M38" s="197"/>
      <c r="N38" s="196"/>
    </row>
    <row r="39" spans="1:14" x14ac:dyDescent="0.35">
      <c r="A39" s="231">
        <v>38</v>
      </c>
      <c r="B39" s="194"/>
      <c r="C39" s="195"/>
      <c r="D39" s="386"/>
      <c r="E39" s="386"/>
      <c r="F39" s="386"/>
      <c r="G39" s="386"/>
      <c r="H39" s="386"/>
      <c r="I39" s="386"/>
      <c r="J39" s="387"/>
      <c r="K39" s="387"/>
      <c r="L39" s="387"/>
      <c r="M39" s="197"/>
      <c r="N39" s="196"/>
    </row>
    <row r="40" spans="1:14" x14ac:dyDescent="0.35">
      <c r="A40" s="231">
        <v>39</v>
      </c>
      <c r="B40" s="194"/>
      <c r="C40" s="195"/>
      <c r="D40" s="386"/>
      <c r="E40" s="386"/>
      <c r="F40" s="386"/>
      <c r="G40" s="386"/>
      <c r="H40" s="386"/>
      <c r="I40" s="386"/>
      <c r="J40" s="387"/>
      <c r="K40" s="387"/>
      <c r="L40" s="387"/>
      <c r="M40" s="197"/>
      <c r="N40" s="196"/>
    </row>
    <row r="41" spans="1:14" x14ac:dyDescent="0.35">
      <c r="A41" s="231">
        <v>40</v>
      </c>
      <c r="B41" s="194"/>
      <c r="C41" s="195"/>
      <c r="D41" s="386"/>
      <c r="E41" s="386"/>
      <c r="F41" s="386"/>
      <c r="G41" s="386"/>
      <c r="H41" s="386"/>
      <c r="I41" s="386"/>
      <c r="J41" s="387"/>
      <c r="K41" s="387"/>
      <c r="L41" s="387"/>
      <c r="M41" s="197"/>
      <c r="N41" s="196"/>
    </row>
    <row r="42" spans="1:14" x14ac:dyDescent="0.35">
      <c r="A42" s="231">
        <v>41</v>
      </c>
      <c r="B42" s="194"/>
      <c r="C42" s="195"/>
      <c r="D42" s="386"/>
      <c r="E42" s="386"/>
      <c r="F42" s="386"/>
      <c r="G42" s="386"/>
      <c r="H42" s="386"/>
      <c r="I42" s="386"/>
      <c r="J42" s="387"/>
      <c r="K42" s="387"/>
      <c r="L42" s="387"/>
      <c r="M42" s="197"/>
      <c r="N42" s="196"/>
    </row>
    <row r="43" spans="1:14" x14ac:dyDescent="0.35">
      <c r="A43" s="231">
        <v>42</v>
      </c>
      <c r="B43" s="194"/>
      <c r="C43" s="195"/>
      <c r="D43" s="386"/>
      <c r="E43" s="386"/>
      <c r="F43" s="386"/>
      <c r="G43" s="386"/>
      <c r="H43" s="386"/>
      <c r="I43" s="386"/>
      <c r="J43" s="387"/>
      <c r="K43" s="387"/>
      <c r="L43" s="387"/>
      <c r="M43" s="197"/>
      <c r="N43" s="196"/>
    </row>
    <row r="44" spans="1:14" x14ac:dyDescent="0.35">
      <c r="A44" s="231">
        <v>43</v>
      </c>
      <c r="B44" s="194"/>
      <c r="C44" s="195"/>
      <c r="D44" s="386"/>
      <c r="E44" s="386"/>
      <c r="F44" s="386"/>
      <c r="G44" s="386"/>
      <c r="H44" s="386"/>
      <c r="I44" s="386"/>
      <c r="J44" s="387"/>
      <c r="K44" s="387"/>
      <c r="L44" s="387"/>
      <c r="M44" s="197"/>
      <c r="N44" s="196"/>
    </row>
    <row r="45" spans="1:14" x14ac:dyDescent="0.35">
      <c r="A45" s="231">
        <v>44</v>
      </c>
      <c r="B45" s="194"/>
      <c r="C45" s="195"/>
      <c r="D45" s="386"/>
      <c r="E45" s="386"/>
      <c r="F45" s="386"/>
      <c r="G45" s="386"/>
      <c r="H45" s="386"/>
      <c r="I45" s="386"/>
      <c r="J45" s="387"/>
      <c r="K45" s="387"/>
      <c r="L45" s="387"/>
      <c r="M45" s="197"/>
      <c r="N45" s="196"/>
    </row>
    <row r="46" spans="1:14" x14ac:dyDescent="0.35">
      <c r="A46" s="231">
        <v>45</v>
      </c>
      <c r="B46" s="194"/>
      <c r="C46" s="195"/>
      <c r="D46" s="386"/>
      <c r="E46" s="386"/>
      <c r="F46" s="386"/>
      <c r="G46" s="386"/>
      <c r="H46" s="386"/>
      <c r="I46" s="386"/>
      <c r="J46" s="387"/>
      <c r="K46" s="387"/>
      <c r="L46" s="387"/>
      <c r="M46" s="197"/>
      <c r="N46" s="196"/>
    </row>
    <row r="47" spans="1:14" x14ac:dyDescent="0.35">
      <c r="A47" s="231">
        <v>46</v>
      </c>
      <c r="B47" s="194"/>
      <c r="C47" s="195"/>
      <c r="D47" s="386"/>
      <c r="E47" s="386"/>
      <c r="F47" s="386"/>
      <c r="G47" s="386"/>
      <c r="H47" s="386"/>
      <c r="I47" s="386"/>
      <c r="J47" s="387"/>
      <c r="K47" s="387"/>
      <c r="L47" s="387"/>
      <c r="M47" s="197"/>
      <c r="N47" s="196"/>
    </row>
    <row r="48" spans="1:14" x14ac:dyDescent="0.35">
      <c r="A48" s="231">
        <v>47</v>
      </c>
      <c r="B48" s="194"/>
      <c r="C48" s="195"/>
      <c r="D48" s="386"/>
      <c r="E48" s="386"/>
      <c r="F48" s="386"/>
      <c r="G48" s="386"/>
      <c r="H48" s="386"/>
      <c r="I48" s="386"/>
      <c r="J48" s="387"/>
      <c r="K48" s="387"/>
      <c r="L48" s="387"/>
      <c r="M48" s="197"/>
      <c r="N48" s="196"/>
    </row>
    <row r="49" spans="1:14" x14ac:dyDescent="0.35">
      <c r="A49" s="231">
        <v>48</v>
      </c>
      <c r="B49" s="194"/>
      <c r="C49" s="195"/>
      <c r="D49" s="386"/>
      <c r="E49" s="386"/>
      <c r="F49" s="386"/>
      <c r="G49" s="386"/>
      <c r="H49" s="386"/>
      <c r="I49" s="386"/>
      <c r="J49" s="387"/>
      <c r="K49" s="387"/>
      <c r="L49" s="387"/>
      <c r="M49" s="197"/>
      <c r="N49" s="196"/>
    </row>
    <row r="50" spans="1:14" x14ac:dyDescent="0.35">
      <c r="A50" s="231">
        <v>49</v>
      </c>
      <c r="B50" s="194"/>
      <c r="C50" s="195"/>
      <c r="D50" s="386"/>
      <c r="E50" s="386"/>
      <c r="F50" s="386"/>
      <c r="G50" s="386"/>
      <c r="H50" s="386"/>
      <c r="I50" s="386"/>
      <c r="J50" s="387"/>
      <c r="K50" s="387"/>
      <c r="L50" s="387"/>
      <c r="M50" s="197"/>
      <c r="N50" s="196"/>
    </row>
    <row r="51" spans="1:14" x14ac:dyDescent="0.35">
      <c r="A51" s="231">
        <v>50</v>
      </c>
      <c r="B51" s="194"/>
      <c r="C51" s="195"/>
      <c r="D51" s="386"/>
      <c r="E51" s="386"/>
      <c r="F51" s="386"/>
      <c r="G51" s="386"/>
      <c r="H51" s="386"/>
      <c r="I51" s="386"/>
      <c r="J51" s="387"/>
      <c r="K51" s="387"/>
      <c r="L51" s="387"/>
      <c r="M51" s="197"/>
      <c r="N51" s="196"/>
    </row>
    <row r="52" spans="1:14" x14ac:dyDescent="0.35">
      <c r="A52" s="231">
        <v>51</v>
      </c>
      <c r="B52" s="194"/>
      <c r="C52" s="195"/>
      <c r="D52" s="386"/>
      <c r="E52" s="386"/>
      <c r="F52" s="386"/>
      <c r="G52" s="386"/>
      <c r="H52" s="386"/>
      <c r="I52" s="386"/>
      <c r="J52" s="387"/>
      <c r="K52" s="387"/>
      <c r="L52" s="387"/>
      <c r="M52" s="197"/>
      <c r="N52" s="196"/>
    </row>
    <row r="53" spans="1:14" x14ac:dyDescent="0.35">
      <c r="A53" s="231">
        <v>52</v>
      </c>
      <c r="B53" s="194"/>
      <c r="C53" s="195"/>
      <c r="D53" s="386"/>
      <c r="E53" s="386"/>
      <c r="F53" s="386"/>
      <c r="G53" s="386"/>
      <c r="H53" s="386"/>
      <c r="I53" s="386"/>
      <c r="J53" s="387"/>
      <c r="K53" s="387"/>
      <c r="L53" s="387"/>
      <c r="M53" s="197"/>
      <c r="N53" s="196"/>
    </row>
    <row r="54" spans="1:14" x14ac:dyDescent="0.35">
      <c r="A54" s="231">
        <v>53</v>
      </c>
      <c r="B54" s="194"/>
      <c r="C54" s="195"/>
      <c r="D54" s="386"/>
      <c r="E54" s="386"/>
      <c r="F54" s="386"/>
      <c r="G54" s="386"/>
      <c r="H54" s="386"/>
      <c r="I54" s="386"/>
      <c r="J54" s="387"/>
      <c r="K54" s="387"/>
      <c r="L54" s="387"/>
      <c r="M54" s="197"/>
      <c r="N54" s="196"/>
    </row>
    <row r="55" spans="1:14" x14ac:dyDescent="0.35">
      <c r="A55" s="231">
        <v>54</v>
      </c>
      <c r="B55" s="194"/>
      <c r="C55" s="195"/>
      <c r="D55" s="386"/>
      <c r="E55" s="386"/>
      <c r="F55" s="386"/>
      <c r="G55" s="386"/>
      <c r="H55" s="386"/>
      <c r="I55" s="386"/>
      <c r="J55" s="387"/>
      <c r="K55" s="387"/>
      <c r="L55" s="387"/>
      <c r="M55" s="197"/>
      <c r="N55" s="196"/>
    </row>
    <row r="56" spans="1:14" x14ac:dyDescent="0.35">
      <c r="A56" s="231">
        <v>55</v>
      </c>
      <c r="B56" s="194"/>
      <c r="C56" s="195"/>
      <c r="D56" s="386"/>
      <c r="E56" s="386"/>
      <c r="F56" s="386"/>
      <c r="G56" s="386"/>
      <c r="H56" s="386"/>
      <c r="I56" s="386"/>
      <c r="J56" s="387"/>
      <c r="K56" s="387"/>
      <c r="L56" s="387"/>
      <c r="M56" s="197"/>
      <c r="N56" s="196"/>
    </row>
    <row r="57" spans="1:14" x14ac:dyDescent="0.35">
      <c r="A57" s="231">
        <v>56</v>
      </c>
      <c r="B57" s="194"/>
      <c r="C57" s="195"/>
      <c r="D57" s="386"/>
      <c r="E57" s="386"/>
      <c r="F57" s="386"/>
      <c r="G57" s="386"/>
      <c r="H57" s="386"/>
      <c r="I57" s="386"/>
      <c r="J57" s="387"/>
      <c r="K57" s="387"/>
      <c r="L57" s="387"/>
      <c r="M57" s="197"/>
      <c r="N57" s="196"/>
    </row>
    <row r="58" spans="1:14" x14ac:dyDescent="0.35">
      <c r="A58" s="231">
        <v>57</v>
      </c>
      <c r="B58" s="194"/>
      <c r="C58" s="195"/>
      <c r="D58" s="386"/>
      <c r="E58" s="386"/>
      <c r="F58" s="386"/>
      <c r="G58" s="386"/>
      <c r="H58" s="386"/>
      <c r="I58" s="386"/>
      <c r="J58" s="387"/>
      <c r="K58" s="387"/>
      <c r="L58" s="387"/>
      <c r="M58" s="197"/>
      <c r="N58" s="196"/>
    </row>
    <row r="59" spans="1:14" x14ac:dyDescent="0.35">
      <c r="A59" s="231">
        <v>58</v>
      </c>
      <c r="B59" s="194"/>
      <c r="C59" s="195"/>
      <c r="D59" s="386"/>
      <c r="E59" s="386"/>
      <c r="F59" s="386"/>
      <c r="G59" s="386"/>
      <c r="H59" s="386"/>
      <c r="I59" s="386"/>
      <c r="J59" s="387"/>
      <c r="K59" s="387"/>
      <c r="L59" s="387"/>
      <c r="M59" s="197"/>
      <c r="N59" s="196"/>
    </row>
    <row r="60" spans="1:14" x14ac:dyDescent="0.35">
      <c r="A60" s="231">
        <v>59</v>
      </c>
      <c r="B60" s="194"/>
      <c r="C60" s="195"/>
      <c r="D60" s="386"/>
      <c r="E60" s="386"/>
      <c r="F60" s="386"/>
      <c r="G60" s="386"/>
      <c r="H60" s="386"/>
      <c r="I60" s="386"/>
      <c r="J60" s="387"/>
      <c r="K60" s="387"/>
      <c r="L60" s="387"/>
      <c r="M60" s="197"/>
      <c r="N60" s="196"/>
    </row>
    <row r="61" spans="1:14" x14ac:dyDescent="0.35">
      <c r="A61" s="231">
        <v>60</v>
      </c>
      <c r="B61" s="194"/>
      <c r="C61" s="195"/>
      <c r="D61" s="386"/>
      <c r="E61" s="386"/>
      <c r="F61" s="386"/>
      <c r="G61" s="386"/>
      <c r="H61" s="386"/>
      <c r="I61" s="386"/>
      <c r="J61" s="387"/>
      <c r="K61" s="387"/>
      <c r="L61" s="387"/>
      <c r="M61" s="197"/>
      <c r="N61" s="196"/>
    </row>
    <row r="62" spans="1:14" x14ac:dyDescent="0.35">
      <c r="A62" s="231">
        <v>61</v>
      </c>
      <c r="B62" s="194"/>
      <c r="C62" s="195"/>
      <c r="D62" s="386"/>
      <c r="E62" s="386"/>
      <c r="F62" s="386"/>
      <c r="G62" s="386"/>
      <c r="H62" s="386"/>
      <c r="I62" s="386"/>
      <c r="J62" s="387"/>
      <c r="K62" s="387"/>
      <c r="L62" s="387"/>
      <c r="M62" s="197"/>
      <c r="N62" s="196"/>
    </row>
    <row r="63" spans="1:14" x14ac:dyDescent="0.35">
      <c r="A63" s="231">
        <v>62</v>
      </c>
      <c r="B63" s="194"/>
      <c r="C63" s="195"/>
      <c r="D63" s="386"/>
      <c r="E63" s="386"/>
      <c r="F63" s="386"/>
      <c r="G63" s="386"/>
      <c r="H63" s="386"/>
      <c r="I63" s="386"/>
      <c r="J63" s="387"/>
      <c r="K63" s="387"/>
      <c r="L63" s="387"/>
      <c r="M63" s="197"/>
      <c r="N63" s="196"/>
    </row>
    <row r="64" spans="1:14" x14ac:dyDescent="0.35">
      <c r="A64" s="231">
        <v>63</v>
      </c>
      <c r="B64" s="194"/>
      <c r="C64" s="195"/>
      <c r="D64" s="386"/>
      <c r="E64" s="386"/>
      <c r="F64" s="386"/>
      <c r="G64" s="386"/>
      <c r="H64" s="386"/>
      <c r="I64" s="386"/>
      <c r="J64" s="387"/>
      <c r="K64" s="387"/>
      <c r="L64" s="387"/>
      <c r="M64" s="197"/>
      <c r="N64" s="196"/>
    </row>
    <row r="65" spans="1:14" x14ac:dyDescent="0.35">
      <c r="A65" s="231">
        <v>64</v>
      </c>
      <c r="B65" s="194"/>
      <c r="C65" s="195"/>
      <c r="D65" s="386"/>
      <c r="E65" s="386"/>
      <c r="F65" s="386"/>
      <c r="G65" s="386"/>
      <c r="H65" s="386"/>
      <c r="I65" s="386"/>
      <c r="J65" s="387"/>
      <c r="K65" s="387"/>
      <c r="L65" s="387"/>
      <c r="M65" s="197"/>
      <c r="N65" s="196"/>
    </row>
    <row r="66" spans="1:14" x14ac:dyDescent="0.35">
      <c r="A66" s="231">
        <v>65</v>
      </c>
      <c r="B66" s="194"/>
      <c r="C66" s="195"/>
      <c r="D66" s="386"/>
      <c r="E66" s="386"/>
      <c r="F66" s="386"/>
      <c r="G66" s="386"/>
      <c r="H66" s="386"/>
      <c r="I66" s="386"/>
      <c r="J66" s="387"/>
      <c r="K66" s="387"/>
      <c r="L66" s="387"/>
      <c r="M66" s="197"/>
      <c r="N66" s="196"/>
    </row>
    <row r="67" spans="1:14" x14ac:dyDescent="0.35">
      <c r="A67" s="231">
        <v>66</v>
      </c>
      <c r="B67" s="194"/>
      <c r="C67" s="195"/>
      <c r="D67" s="386"/>
      <c r="E67" s="386"/>
      <c r="F67" s="386"/>
      <c r="G67" s="386"/>
      <c r="H67" s="386"/>
      <c r="I67" s="386"/>
      <c r="J67" s="387"/>
      <c r="K67" s="387"/>
      <c r="L67" s="387"/>
      <c r="M67" s="197"/>
      <c r="N67" s="196"/>
    </row>
    <row r="68" spans="1:14" x14ac:dyDescent="0.35">
      <c r="A68" s="231">
        <v>67</v>
      </c>
      <c r="B68" s="194"/>
      <c r="C68" s="195"/>
      <c r="D68" s="386"/>
      <c r="E68" s="386"/>
      <c r="F68" s="386"/>
      <c r="G68" s="386"/>
      <c r="H68" s="386"/>
      <c r="I68" s="386"/>
      <c r="J68" s="387"/>
      <c r="K68" s="387"/>
      <c r="L68" s="387"/>
      <c r="M68" s="197"/>
      <c r="N68" s="196"/>
    </row>
    <row r="69" spans="1:14" x14ac:dyDescent="0.35">
      <c r="A69" s="231">
        <v>68</v>
      </c>
      <c r="B69" s="194"/>
      <c r="C69" s="195"/>
      <c r="D69" s="386"/>
      <c r="E69" s="386"/>
      <c r="F69" s="386"/>
      <c r="G69" s="386"/>
      <c r="H69" s="386"/>
      <c r="I69" s="386"/>
      <c r="J69" s="387"/>
      <c r="K69" s="387"/>
      <c r="L69" s="387"/>
      <c r="M69" s="197"/>
      <c r="N69" s="196"/>
    </row>
    <row r="70" spans="1:14" x14ac:dyDescent="0.35">
      <c r="A70" s="231">
        <v>69</v>
      </c>
      <c r="B70" s="194"/>
      <c r="C70" s="195"/>
      <c r="D70" s="386"/>
      <c r="E70" s="386"/>
      <c r="F70" s="386"/>
      <c r="G70" s="386"/>
      <c r="H70" s="386"/>
      <c r="I70" s="386"/>
      <c r="J70" s="387"/>
      <c r="K70" s="387"/>
      <c r="L70" s="387"/>
      <c r="M70" s="197"/>
      <c r="N70" s="196"/>
    </row>
    <row r="71" spans="1:14" x14ac:dyDescent="0.35">
      <c r="A71" s="231">
        <v>70</v>
      </c>
      <c r="B71" s="194"/>
      <c r="C71" s="195"/>
      <c r="D71" s="386"/>
      <c r="E71" s="386"/>
      <c r="F71" s="386"/>
      <c r="G71" s="386"/>
      <c r="H71" s="386"/>
      <c r="I71" s="386"/>
      <c r="J71" s="387"/>
      <c r="K71" s="387"/>
      <c r="L71" s="387"/>
      <c r="M71" s="197"/>
      <c r="N71" s="196"/>
    </row>
    <row r="72" spans="1:14" x14ac:dyDescent="0.35">
      <c r="A72" s="231">
        <v>71</v>
      </c>
      <c r="B72" s="194"/>
      <c r="C72" s="195"/>
      <c r="D72" s="386"/>
      <c r="E72" s="386"/>
      <c r="F72" s="386"/>
      <c r="G72" s="386"/>
      <c r="H72" s="386"/>
      <c r="I72" s="386"/>
      <c r="J72" s="387"/>
      <c r="K72" s="387"/>
      <c r="L72" s="387"/>
      <c r="M72" s="197"/>
      <c r="N72" s="196"/>
    </row>
    <row r="73" spans="1:14" x14ac:dyDescent="0.35">
      <c r="A73" s="231">
        <v>72</v>
      </c>
      <c r="B73" s="194"/>
      <c r="C73" s="195"/>
      <c r="D73" s="386"/>
      <c r="E73" s="386"/>
      <c r="F73" s="386"/>
      <c r="G73" s="386"/>
      <c r="H73" s="386"/>
      <c r="I73" s="386"/>
      <c r="J73" s="387"/>
      <c r="K73" s="387"/>
      <c r="L73" s="387"/>
      <c r="M73" s="197"/>
      <c r="N73" s="196"/>
    </row>
    <row r="74" spans="1:14" x14ac:dyDescent="0.35">
      <c r="A74" s="231">
        <v>73</v>
      </c>
      <c r="B74" s="194"/>
      <c r="C74" s="195"/>
      <c r="D74" s="386"/>
      <c r="E74" s="386"/>
      <c r="F74" s="386"/>
      <c r="G74" s="386"/>
      <c r="H74" s="386"/>
      <c r="I74" s="386"/>
      <c r="J74" s="387"/>
      <c r="K74" s="387"/>
      <c r="L74" s="387"/>
      <c r="M74" s="197"/>
      <c r="N74" s="196"/>
    </row>
    <row r="75" spans="1:14" x14ac:dyDescent="0.35">
      <c r="A75" s="231">
        <v>74</v>
      </c>
      <c r="B75" s="194"/>
      <c r="C75" s="195"/>
      <c r="D75" s="386"/>
      <c r="E75" s="386"/>
      <c r="F75" s="386"/>
      <c r="G75" s="386"/>
      <c r="H75" s="386"/>
      <c r="I75" s="386"/>
      <c r="J75" s="387"/>
      <c r="K75" s="387"/>
      <c r="L75" s="387"/>
      <c r="M75" s="197"/>
      <c r="N75" s="196"/>
    </row>
    <row r="76" spans="1:14" x14ac:dyDescent="0.35">
      <c r="A76" s="231">
        <v>75</v>
      </c>
      <c r="B76" s="194"/>
      <c r="C76" s="195"/>
      <c r="D76" s="386"/>
      <c r="E76" s="386"/>
      <c r="F76" s="386"/>
      <c r="G76" s="386"/>
      <c r="H76" s="386"/>
      <c r="I76" s="386"/>
      <c r="J76" s="387"/>
      <c r="K76" s="387"/>
      <c r="L76" s="387"/>
      <c r="M76" s="197"/>
      <c r="N76" s="196"/>
    </row>
    <row r="77" spans="1:14" x14ac:dyDescent="0.35">
      <c r="A77" s="231">
        <v>76</v>
      </c>
      <c r="B77" s="194"/>
      <c r="C77" s="195"/>
      <c r="D77" s="386"/>
      <c r="E77" s="386"/>
      <c r="F77" s="386"/>
      <c r="G77" s="386"/>
      <c r="H77" s="386"/>
      <c r="I77" s="386"/>
      <c r="J77" s="387"/>
      <c r="K77" s="387"/>
      <c r="L77" s="387"/>
      <c r="M77" s="197"/>
      <c r="N77" s="196"/>
    </row>
    <row r="78" spans="1:14" x14ac:dyDescent="0.35">
      <c r="A78" s="231">
        <v>77</v>
      </c>
      <c r="B78" s="194"/>
      <c r="C78" s="195"/>
      <c r="D78" s="386"/>
      <c r="E78" s="386"/>
      <c r="F78" s="386"/>
      <c r="G78" s="386"/>
      <c r="H78" s="386"/>
      <c r="I78" s="386"/>
      <c r="J78" s="387"/>
      <c r="K78" s="387"/>
      <c r="L78" s="387"/>
      <c r="M78" s="197"/>
      <c r="N78" s="196"/>
    </row>
    <row r="79" spans="1:14" x14ac:dyDescent="0.35">
      <c r="A79" s="231">
        <v>78</v>
      </c>
      <c r="B79" s="194"/>
      <c r="C79" s="195"/>
      <c r="D79" s="386"/>
      <c r="E79" s="386"/>
      <c r="F79" s="386"/>
      <c r="G79" s="386"/>
      <c r="H79" s="386"/>
      <c r="I79" s="386"/>
      <c r="J79" s="387"/>
      <c r="K79" s="387"/>
      <c r="L79" s="387"/>
      <c r="M79" s="197"/>
      <c r="N79" s="196"/>
    </row>
    <row r="80" spans="1:14" x14ac:dyDescent="0.35">
      <c r="A80" s="231">
        <v>79</v>
      </c>
      <c r="B80" s="194"/>
      <c r="C80" s="195"/>
      <c r="D80" s="386"/>
      <c r="E80" s="386"/>
      <c r="F80" s="386"/>
      <c r="G80" s="386"/>
      <c r="H80" s="386"/>
      <c r="I80" s="386"/>
      <c r="J80" s="387"/>
      <c r="K80" s="387"/>
      <c r="L80" s="387"/>
      <c r="M80" s="197"/>
      <c r="N80" s="196"/>
    </row>
    <row r="81" spans="1:14" x14ac:dyDescent="0.35">
      <c r="A81" s="231">
        <v>80</v>
      </c>
      <c r="B81" s="194"/>
      <c r="C81" s="195"/>
      <c r="D81" s="386"/>
      <c r="E81" s="386"/>
      <c r="F81" s="386"/>
      <c r="G81" s="386"/>
      <c r="H81" s="386"/>
      <c r="I81" s="386"/>
      <c r="J81" s="387"/>
      <c r="K81" s="387"/>
      <c r="L81" s="387"/>
      <c r="M81" s="197"/>
      <c r="N81" s="196"/>
    </row>
    <row r="82" spans="1:14" x14ac:dyDescent="0.35">
      <c r="A82" s="231">
        <v>81</v>
      </c>
      <c r="B82" s="194"/>
      <c r="C82" s="195"/>
      <c r="D82" s="386"/>
      <c r="E82" s="386"/>
      <c r="F82" s="386"/>
      <c r="G82" s="386"/>
      <c r="H82" s="386"/>
      <c r="I82" s="386"/>
      <c r="J82" s="387"/>
      <c r="K82" s="387"/>
      <c r="L82" s="387"/>
      <c r="M82" s="197"/>
      <c r="N82" s="196"/>
    </row>
    <row r="83" spans="1:14" x14ac:dyDescent="0.35">
      <c r="A83" s="231">
        <v>82</v>
      </c>
      <c r="B83" s="194"/>
      <c r="C83" s="195"/>
      <c r="D83" s="386"/>
      <c r="E83" s="386"/>
      <c r="F83" s="386"/>
      <c r="G83" s="386"/>
      <c r="H83" s="386"/>
      <c r="I83" s="386"/>
      <c r="J83" s="387"/>
      <c r="K83" s="387"/>
      <c r="L83" s="387"/>
      <c r="M83" s="197"/>
      <c r="N83" s="196"/>
    </row>
    <row r="84" spans="1:14" x14ac:dyDescent="0.35">
      <c r="A84" s="231">
        <v>83</v>
      </c>
      <c r="B84" s="194"/>
      <c r="C84" s="195"/>
      <c r="D84" s="386"/>
      <c r="E84" s="386"/>
      <c r="F84" s="386"/>
      <c r="G84" s="386"/>
      <c r="H84" s="386"/>
      <c r="I84" s="386"/>
      <c r="J84" s="387"/>
      <c r="K84" s="387"/>
      <c r="L84" s="387"/>
      <c r="M84" s="197"/>
      <c r="N84" s="196"/>
    </row>
    <row r="85" spans="1:14" x14ac:dyDescent="0.35">
      <c r="A85" s="231">
        <v>84</v>
      </c>
      <c r="B85" s="194"/>
      <c r="C85" s="195"/>
      <c r="D85" s="386"/>
      <c r="E85" s="386"/>
      <c r="F85" s="386"/>
      <c r="G85" s="386"/>
      <c r="H85" s="386"/>
      <c r="I85" s="386"/>
      <c r="J85" s="387"/>
      <c r="K85" s="387"/>
      <c r="L85" s="387"/>
      <c r="M85" s="197"/>
      <c r="N85" s="196"/>
    </row>
    <row r="86" spans="1:14" x14ac:dyDescent="0.35">
      <c r="A86" s="231">
        <v>85</v>
      </c>
      <c r="B86" s="194"/>
      <c r="C86" s="195"/>
      <c r="D86" s="386"/>
      <c r="E86" s="386"/>
      <c r="F86" s="386"/>
      <c r="G86" s="386"/>
      <c r="H86" s="386"/>
      <c r="I86" s="386"/>
      <c r="J86" s="387"/>
      <c r="K86" s="387"/>
      <c r="L86" s="387"/>
      <c r="M86" s="197"/>
      <c r="N86" s="196"/>
    </row>
    <row r="87" spans="1:14" x14ac:dyDescent="0.35">
      <c r="A87" s="231">
        <v>86</v>
      </c>
      <c r="B87" s="194"/>
      <c r="C87" s="195"/>
      <c r="D87" s="386"/>
      <c r="E87" s="386"/>
      <c r="F87" s="386"/>
      <c r="G87" s="386"/>
      <c r="H87" s="386"/>
      <c r="I87" s="386"/>
      <c r="J87" s="387"/>
      <c r="K87" s="387"/>
      <c r="L87" s="387"/>
      <c r="M87" s="197"/>
      <c r="N87" s="196"/>
    </row>
    <row r="88" spans="1:14" x14ac:dyDescent="0.35">
      <c r="A88" s="231">
        <v>87</v>
      </c>
      <c r="B88" s="194"/>
      <c r="C88" s="195"/>
      <c r="D88" s="386"/>
      <c r="E88" s="386"/>
      <c r="F88" s="386"/>
      <c r="G88" s="386"/>
      <c r="H88" s="386"/>
      <c r="I88" s="386"/>
      <c r="J88" s="387"/>
      <c r="K88" s="387"/>
      <c r="L88" s="387"/>
      <c r="M88" s="197"/>
      <c r="N88" s="196"/>
    </row>
    <row r="89" spans="1:14" x14ac:dyDescent="0.35">
      <c r="A89" s="231">
        <v>88</v>
      </c>
      <c r="B89" s="194"/>
      <c r="C89" s="195"/>
      <c r="D89" s="386"/>
      <c r="E89" s="386"/>
      <c r="F89" s="386"/>
      <c r="G89" s="386"/>
      <c r="H89" s="386"/>
      <c r="I89" s="386"/>
      <c r="J89" s="387"/>
      <c r="K89" s="387"/>
      <c r="L89" s="387"/>
      <c r="M89" s="197"/>
      <c r="N89" s="196"/>
    </row>
    <row r="90" spans="1:14" x14ac:dyDescent="0.35">
      <c r="A90" s="231">
        <v>89</v>
      </c>
      <c r="B90" s="194"/>
      <c r="C90" s="195"/>
      <c r="D90" s="386"/>
      <c r="E90" s="386"/>
      <c r="F90" s="386"/>
      <c r="G90" s="386"/>
      <c r="H90" s="386"/>
      <c r="I90" s="386"/>
      <c r="J90" s="387"/>
      <c r="K90" s="387"/>
      <c r="L90" s="387"/>
      <c r="M90" s="197"/>
      <c r="N90" s="196"/>
    </row>
    <row r="91" spans="1:14" x14ac:dyDescent="0.35">
      <c r="A91" s="231">
        <v>90</v>
      </c>
      <c r="B91" s="194"/>
      <c r="C91" s="195"/>
      <c r="D91" s="386"/>
      <c r="E91" s="386"/>
      <c r="F91" s="386"/>
      <c r="G91" s="386"/>
      <c r="H91" s="386"/>
      <c r="I91" s="386"/>
      <c r="J91" s="387"/>
      <c r="K91" s="387"/>
      <c r="L91" s="387"/>
      <c r="M91" s="197"/>
      <c r="N91" s="196"/>
    </row>
    <row r="92" spans="1:14" x14ac:dyDescent="0.35">
      <c r="A92" s="231">
        <v>91</v>
      </c>
      <c r="B92" s="194"/>
      <c r="C92" s="195"/>
      <c r="D92" s="386"/>
      <c r="E92" s="386"/>
      <c r="F92" s="386"/>
      <c r="G92" s="386"/>
      <c r="H92" s="386"/>
      <c r="I92" s="386"/>
      <c r="J92" s="387"/>
      <c r="K92" s="387"/>
      <c r="L92" s="387"/>
      <c r="M92" s="197"/>
      <c r="N92" s="196"/>
    </row>
    <row r="93" spans="1:14" x14ac:dyDescent="0.35">
      <c r="A93" s="231">
        <v>92</v>
      </c>
      <c r="B93" s="194"/>
      <c r="C93" s="195"/>
      <c r="D93" s="386"/>
      <c r="E93" s="386"/>
      <c r="F93" s="386"/>
      <c r="G93" s="386"/>
      <c r="H93" s="386"/>
      <c r="I93" s="386"/>
      <c r="J93" s="387"/>
      <c r="K93" s="387"/>
      <c r="L93" s="387"/>
      <c r="M93" s="197"/>
      <c r="N93" s="196"/>
    </row>
    <row r="94" spans="1:14" x14ac:dyDescent="0.35">
      <c r="A94" s="231">
        <v>93</v>
      </c>
      <c r="B94" s="194"/>
      <c r="C94" s="195"/>
      <c r="D94" s="386"/>
      <c r="E94" s="386"/>
      <c r="F94" s="386"/>
      <c r="G94" s="386"/>
      <c r="H94" s="386"/>
      <c r="I94" s="386"/>
      <c r="J94" s="387"/>
      <c r="K94" s="387"/>
      <c r="L94" s="387"/>
      <c r="M94" s="197"/>
      <c r="N94" s="196"/>
    </row>
    <row r="95" spans="1:14" x14ac:dyDescent="0.35">
      <c r="A95" s="231">
        <v>94</v>
      </c>
      <c r="B95" s="194"/>
      <c r="C95" s="195"/>
      <c r="D95" s="386"/>
      <c r="E95" s="386"/>
      <c r="F95" s="386"/>
      <c r="G95" s="386"/>
      <c r="H95" s="386"/>
      <c r="I95" s="386"/>
      <c r="J95" s="387"/>
      <c r="K95" s="387"/>
      <c r="L95" s="387"/>
      <c r="M95" s="197"/>
      <c r="N95" s="196"/>
    </row>
    <row r="96" spans="1:14" x14ac:dyDescent="0.35">
      <c r="A96" s="231">
        <v>95</v>
      </c>
      <c r="B96" s="194"/>
      <c r="C96" s="195"/>
      <c r="D96" s="386"/>
      <c r="E96" s="386"/>
      <c r="F96" s="386"/>
      <c r="G96" s="386"/>
      <c r="H96" s="386"/>
      <c r="I96" s="386"/>
      <c r="J96" s="387"/>
      <c r="K96" s="387"/>
      <c r="L96" s="387"/>
      <c r="M96" s="197"/>
      <c r="N96" s="196"/>
    </row>
    <row r="97" spans="1:14" x14ac:dyDescent="0.35">
      <c r="A97" s="231">
        <v>96</v>
      </c>
      <c r="B97" s="194"/>
      <c r="C97" s="195"/>
      <c r="D97" s="386"/>
      <c r="E97" s="386"/>
      <c r="F97" s="386"/>
      <c r="G97" s="386"/>
      <c r="H97" s="386"/>
      <c r="I97" s="386"/>
      <c r="J97" s="387"/>
      <c r="K97" s="387"/>
      <c r="L97" s="387"/>
      <c r="M97" s="197"/>
      <c r="N97" s="196"/>
    </row>
    <row r="98" spans="1:14" x14ac:dyDescent="0.35">
      <c r="A98" s="231">
        <v>97</v>
      </c>
      <c r="B98" s="194"/>
      <c r="C98" s="195"/>
      <c r="D98" s="386"/>
      <c r="E98" s="386"/>
      <c r="F98" s="386"/>
      <c r="G98" s="386"/>
      <c r="H98" s="386"/>
      <c r="I98" s="386"/>
      <c r="J98" s="387"/>
      <c r="K98" s="387"/>
      <c r="L98" s="387"/>
      <c r="M98" s="197"/>
      <c r="N98" s="196"/>
    </row>
    <row r="99" spans="1:14" x14ac:dyDescent="0.35">
      <c r="A99" s="231">
        <v>98</v>
      </c>
      <c r="B99" s="194"/>
      <c r="C99" s="195"/>
      <c r="D99" s="386"/>
      <c r="E99" s="386"/>
      <c r="F99" s="386"/>
      <c r="G99" s="386"/>
      <c r="H99" s="386"/>
      <c r="I99" s="386"/>
      <c r="J99" s="387"/>
      <c r="K99" s="387"/>
      <c r="L99" s="387"/>
      <c r="M99" s="197"/>
      <c r="N99" s="196"/>
    </row>
    <row r="100" spans="1:14" x14ac:dyDescent="0.35">
      <c r="A100" s="231">
        <v>99</v>
      </c>
      <c r="B100" s="194"/>
      <c r="C100" s="195"/>
      <c r="D100" s="386"/>
      <c r="E100" s="386"/>
      <c r="F100" s="386"/>
      <c r="G100" s="386"/>
      <c r="H100" s="386"/>
      <c r="I100" s="386"/>
      <c r="J100" s="387"/>
      <c r="K100" s="387"/>
      <c r="L100" s="387"/>
      <c r="M100" s="197"/>
      <c r="N100" s="196"/>
    </row>
    <row r="101" spans="1:14" x14ac:dyDescent="0.35">
      <c r="A101" s="231">
        <v>100</v>
      </c>
      <c r="B101" s="194"/>
      <c r="C101" s="195"/>
      <c r="D101" s="386"/>
      <c r="E101" s="386"/>
      <c r="F101" s="386"/>
      <c r="G101" s="386"/>
      <c r="H101" s="386"/>
      <c r="I101" s="386"/>
      <c r="J101" s="387"/>
      <c r="K101" s="387"/>
      <c r="L101" s="387"/>
      <c r="M101" s="197"/>
      <c r="N101" s="196"/>
    </row>
    <row r="102" spans="1:14" x14ac:dyDescent="0.35">
      <c r="A102" s="231">
        <v>101</v>
      </c>
      <c r="B102" s="194"/>
      <c r="C102" s="195"/>
      <c r="D102" s="386"/>
      <c r="E102" s="386"/>
      <c r="F102" s="386"/>
      <c r="G102" s="386"/>
      <c r="H102" s="386"/>
      <c r="I102" s="386"/>
      <c r="J102" s="387"/>
      <c r="K102" s="387"/>
      <c r="L102" s="387"/>
      <c r="M102" s="197"/>
      <c r="N102" s="196"/>
    </row>
    <row r="103" spans="1:14" x14ac:dyDescent="0.35">
      <c r="A103" s="231">
        <v>102</v>
      </c>
      <c r="B103" s="194"/>
      <c r="C103" s="195"/>
      <c r="D103" s="386"/>
      <c r="E103" s="386"/>
      <c r="F103" s="386"/>
      <c r="G103" s="386"/>
      <c r="H103" s="386"/>
      <c r="I103" s="386"/>
      <c r="J103" s="387"/>
      <c r="K103" s="387"/>
      <c r="L103" s="387"/>
      <c r="M103" s="197"/>
      <c r="N103" s="196"/>
    </row>
    <row r="104" spans="1:14" x14ac:dyDescent="0.35">
      <c r="A104" s="231">
        <v>103</v>
      </c>
      <c r="B104" s="194"/>
      <c r="C104" s="195"/>
      <c r="D104" s="386"/>
      <c r="E104" s="386"/>
      <c r="F104" s="386"/>
      <c r="G104" s="386"/>
      <c r="H104" s="386"/>
      <c r="I104" s="386"/>
      <c r="J104" s="387"/>
      <c r="K104" s="387"/>
      <c r="L104" s="387"/>
      <c r="M104" s="197"/>
      <c r="N104" s="196"/>
    </row>
    <row r="105" spans="1:14" x14ac:dyDescent="0.35">
      <c r="A105" s="231">
        <v>104</v>
      </c>
      <c r="B105" s="194"/>
      <c r="C105" s="195"/>
      <c r="D105" s="386"/>
      <c r="E105" s="386"/>
      <c r="F105" s="386"/>
      <c r="G105" s="386"/>
      <c r="H105" s="386"/>
      <c r="I105" s="386"/>
      <c r="J105" s="387"/>
      <c r="K105" s="387"/>
      <c r="L105" s="387"/>
      <c r="M105" s="197"/>
      <c r="N105" s="196"/>
    </row>
    <row r="106" spans="1:14" x14ac:dyDescent="0.35">
      <c r="A106" s="231">
        <v>105</v>
      </c>
      <c r="B106" s="194"/>
      <c r="C106" s="195"/>
      <c r="D106" s="386"/>
      <c r="E106" s="386"/>
      <c r="F106" s="386"/>
      <c r="G106" s="386"/>
      <c r="H106" s="386"/>
      <c r="I106" s="386"/>
      <c r="J106" s="387"/>
      <c r="K106" s="387"/>
      <c r="L106" s="387"/>
      <c r="M106" s="197"/>
      <c r="N106" s="196"/>
    </row>
    <row r="107" spans="1:14" x14ac:dyDescent="0.35">
      <c r="A107" s="231">
        <v>106</v>
      </c>
      <c r="B107" s="194"/>
      <c r="C107" s="195"/>
      <c r="D107" s="386"/>
      <c r="E107" s="386"/>
      <c r="F107" s="386"/>
      <c r="G107" s="386"/>
      <c r="H107" s="386"/>
      <c r="I107" s="386"/>
      <c r="J107" s="387"/>
      <c r="K107" s="387"/>
      <c r="L107" s="387"/>
      <c r="M107" s="197"/>
      <c r="N107" s="196"/>
    </row>
    <row r="108" spans="1:14" x14ac:dyDescent="0.35">
      <c r="A108" s="231">
        <v>107</v>
      </c>
      <c r="B108" s="194"/>
      <c r="C108" s="195"/>
      <c r="D108" s="386"/>
      <c r="E108" s="386"/>
      <c r="F108" s="386"/>
      <c r="G108" s="386"/>
      <c r="H108" s="386"/>
      <c r="I108" s="386"/>
      <c r="J108" s="387"/>
      <c r="K108" s="387"/>
      <c r="L108" s="387"/>
      <c r="M108" s="197"/>
      <c r="N108" s="196"/>
    </row>
    <row r="109" spans="1:14" x14ac:dyDescent="0.35">
      <c r="A109" s="231">
        <v>108</v>
      </c>
      <c r="B109" s="194"/>
      <c r="C109" s="195"/>
      <c r="D109" s="386"/>
      <c r="E109" s="386"/>
      <c r="F109" s="386"/>
      <c r="G109" s="386"/>
      <c r="H109" s="386"/>
      <c r="I109" s="386"/>
      <c r="J109" s="387"/>
      <c r="K109" s="387"/>
      <c r="L109" s="387"/>
      <c r="M109" s="197"/>
      <c r="N109" s="196"/>
    </row>
    <row r="110" spans="1:14" x14ac:dyDescent="0.35">
      <c r="A110" s="231">
        <v>109</v>
      </c>
      <c r="B110" s="194"/>
      <c r="C110" s="195"/>
      <c r="D110" s="386"/>
      <c r="E110" s="386"/>
      <c r="F110" s="386"/>
      <c r="G110" s="386"/>
      <c r="H110" s="386"/>
      <c r="I110" s="386"/>
      <c r="J110" s="387"/>
      <c r="K110" s="387"/>
      <c r="L110" s="387"/>
      <c r="M110" s="197"/>
      <c r="N110" s="196"/>
    </row>
    <row r="111" spans="1:14" x14ac:dyDescent="0.35">
      <c r="A111" s="231">
        <v>110</v>
      </c>
      <c r="B111" s="194"/>
      <c r="C111" s="195"/>
      <c r="D111" s="386"/>
      <c r="E111" s="386"/>
      <c r="F111" s="386"/>
      <c r="G111" s="386"/>
      <c r="H111" s="386"/>
      <c r="I111" s="386"/>
      <c r="J111" s="387"/>
      <c r="K111" s="387"/>
      <c r="L111" s="387"/>
      <c r="M111" s="197"/>
      <c r="N111" s="196"/>
    </row>
    <row r="112" spans="1:14" x14ac:dyDescent="0.35">
      <c r="A112" s="231">
        <v>111</v>
      </c>
      <c r="B112" s="194"/>
      <c r="C112" s="195"/>
      <c r="D112" s="386"/>
      <c r="E112" s="386"/>
      <c r="F112" s="386"/>
      <c r="G112" s="386"/>
      <c r="H112" s="386"/>
      <c r="I112" s="386"/>
      <c r="J112" s="387"/>
      <c r="K112" s="387"/>
      <c r="L112" s="387"/>
      <c r="M112" s="197"/>
      <c r="N112" s="196"/>
    </row>
    <row r="113" spans="1:14" x14ac:dyDescent="0.35">
      <c r="A113" s="231">
        <v>112</v>
      </c>
      <c r="B113" s="194"/>
      <c r="C113" s="195"/>
      <c r="D113" s="386"/>
      <c r="E113" s="386"/>
      <c r="F113" s="386"/>
      <c r="G113" s="386"/>
      <c r="H113" s="386"/>
      <c r="I113" s="386"/>
      <c r="J113" s="387"/>
      <c r="K113" s="387"/>
      <c r="L113" s="387"/>
      <c r="M113" s="197"/>
      <c r="N113" s="196"/>
    </row>
    <row r="114" spans="1:14" x14ac:dyDescent="0.35">
      <c r="A114" s="231">
        <v>113</v>
      </c>
      <c r="B114" s="194"/>
      <c r="C114" s="195"/>
      <c r="D114" s="386"/>
      <c r="E114" s="386"/>
      <c r="F114" s="386"/>
      <c r="G114" s="386"/>
      <c r="H114" s="386"/>
      <c r="I114" s="386"/>
      <c r="J114" s="387"/>
      <c r="K114" s="387"/>
      <c r="L114" s="387"/>
      <c r="M114" s="197"/>
      <c r="N114" s="196"/>
    </row>
    <row r="115" spans="1:14" x14ac:dyDescent="0.35">
      <c r="A115" s="231">
        <v>114</v>
      </c>
      <c r="B115" s="194"/>
      <c r="C115" s="195"/>
      <c r="D115" s="386"/>
      <c r="E115" s="386"/>
      <c r="F115" s="386"/>
      <c r="G115" s="386"/>
      <c r="H115" s="386"/>
      <c r="I115" s="386"/>
      <c r="J115" s="387"/>
      <c r="K115" s="387"/>
      <c r="L115" s="387"/>
      <c r="M115" s="197"/>
      <c r="N115" s="196"/>
    </row>
    <row r="116" spans="1:14" x14ac:dyDescent="0.35">
      <c r="A116" s="231">
        <v>115</v>
      </c>
      <c r="B116" s="194"/>
      <c r="C116" s="195"/>
      <c r="D116" s="386"/>
      <c r="E116" s="386"/>
      <c r="F116" s="386"/>
      <c r="G116" s="386"/>
      <c r="H116" s="386"/>
      <c r="I116" s="386"/>
      <c r="J116" s="387"/>
      <c r="K116" s="387"/>
      <c r="L116" s="387"/>
      <c r="M116" s="197"/>
      <c r="N116" s="196"/>
    </row>
    <row r="117" spans="1:14" x14ac:dyDescent="0.35">
      <c r="A117" s="231">
        <v>116</v>
      </c>
      <c r="B117" s="194"/>
      <c r="C117" s="195"/>
      <c r="D117" s="386"/>
      <c r="E117" s="386"/>
      <c r="F117" s="386"/>
      <c r="G117" s="386"/>
      <c r="H117" s="386"/>
      <c r="I117" s="386"/>
      <c r="J117" s="387"/>
      <c r="K117" s="387"/>
      <c r="L117" s="387"/>
      <c r="M117" s="197"/>
      <c r="N117" s="196"/>
    </row>
    <row r="118" spans="1:14" x14ac:dyDescent="0.35">
      <c r="A118" s="231">
        <v>117</v>
      </c>
      <c r="B118" s="194"/>
      <c r="C118" s="195"/>
      <c r="D118" s="386"/>
      <c r="E118" s="386"/>
      <c r="F118" s="386"/>
      <c r="G118" s="386"/>
      <c r="H118" s="386"/>
      <c r="I118" s="386"/>
      <c r="J118" s="387"/>
      <c r="K118" s="387"/>
      <c r="L118" s="387"/>
      <c r="M118" s="197"/>
      <c r="N118" s="196"/>
    </row>
    <row r="119" spans="1:14" x14ac:dyDescent="0.35">
      <c r="A119" s="231">
        <v>118</v>
      </c>
      <c r="B119" s="194"/>
      <c r="C119" s="195"/>
      <c r="D119" s="386"/>
      <c r="E119" s="386"/>
      <c r="F119" s="386"/>
      <c r="G119" s="386"/>
      <c r="H119" s="386"/>
      <c r="I119" s="386"/>
      <c r="J119" s="387"/>
      <c r="K119" s="387"/>
      <c r="L119" s="387"/>
      <c r="M119" s="197"/>
      <c r="N119" s="196"/>
    </row>
    <row r="120" spans="1:14" x14ac:dyDescent="0.35">
      <c r="A120" s="231">
        <v>119</v>
      </c>
      <c r="B120" s="194"/>
      <c r="C120" s="195"/>
      <c r="D120" s="386"/>
      <c r="E120" s="386"/>
      <c r="F120" s="386"/>
      <c r="G120" s="386"/>
      <c r="H120" s="386"/>
      <c r="I120" s="386"/>
      <c r="J120" s="387"/>
      <c r="K120" s="387"/>
      <c r="L120" s="387"/>
      <c r="M120" s="197"/>
      <c r="N120" s="196"/>
    </row>
    <row r="121" spans="1:14" x14ac:dyDescent="0.35">
      <c r="A121" s="231">
        <v>120</v>
      </c>
      <c r="B121" s="194"/>
      <c r="C121" s="195"/>
      <c r="D121" s="386"/>
      <c r="E121" s="386"/>
      <c r="F121" s="386"/>
      <c r="G121" s="386"/>
      <c r="H121" s="386"/>
      <c r="I121" s="386"/>
      <c r="J121" s="387"/>
      <c r="K121" s="387"/>
      <c r="L121" s="387"/>
      <c r="M121" s="197"/>
      <c r="N121" s="196"/>
    </row>
    <row r="122" spans="1:14" x14ac:dyDescent="0.35">
      <c r="A122" s="231">
        <v>121</v>
      </c>
      <c r="B122" s="194"/>
      <c r="C122" s="195"/>
      <c r="D122" s="386"/>
      <c r="E122" s="386"/>
      <c r="F122" s="386"/>
      <c r="G122" s="386"/>
      <c r="H122" s="386"/>
      <c r="I122" s="386"/>
      <c r="J122" s="387"/>
      <c r="K122" s="387"/>
      <c r="L122" s="387"/>
      <c r="M122" s="197"/>
      <c r="N122" s="196"/>
    </row>
    <row r="123" spans="1:14" x14ac:dyDescent="0.35">
      <c r="A123" s="231">
        <v>122</v>
      </c>
      <c r="B123" s="194"/>
      <c r="C123" s="195"/>
      <c r="D123" s="386"/>
      <c r="E123" s="386"/>
      <c r="F123" s="386"/>
      <c r="G123" s="386"/>
      <c r="H123" s="386"/>
      <c r="I123" s="386"/>
      <c r="J123" s="387"/>
      <c r="K123" s="387"/>
      <c r="L123" s="387"/>
      <c r="M123" s="197"/>
      <c r="N123" s="196"/>
    </row>
    <row r="124" spans="1:14" x14ac:dyDescent="0.35">
      <c r="A124" s="231">
        <v>123</v>
      </c>
      <c r="B124" s="194"/>
      <c r="C124" s="195"/>
      <c r="D124" s="386"/>
      <c r="E124" s="386"/>
      <c r="F124" s="386"/>
      <c r="G124" s="386"/>
      <c r="H124" s="386"/>
      <c r="I124" s="386"/>
      <c r="J124" s="387"/>
      <c r="K124" s="387"/>
      <c r="L124" s="387"/>
      <c r="M124" s="197"/>
      <c r="N124" s="196"/>
    </row>
    <row r="125" spans="1:14" x14ac:dyDescent="0.35">
      <c r="A125" s="231">
        <v>124</v>
      </c>
      <c r="B125" s="194"/>
      <c r="C125" s="195"/>
      <c r="D125" s="386"/>
      <c r="E125" s="386"/>
      <c r="F125" s="386"/>
      <c r="G125" s="386"/>
      <c r="H125" s="386"/>
      <c r="I125" s="386"/>
      <c r="J125" s="387"/>
      <c r="K125" s="387"/>
      <c r="L125" s="387"/>
      <c r="M125" s="197"/>
      <c r="N125" s="196"/>
    </row>
    <row r="126" spans="1:14" x14ac:dyDescent="0.35">
      <c r="A126" s="231">
        <v>125</v>
      </c>
      <c r="B126" s="194"/>
      <c r="C126" s="195"/>
      <c r="D126" s="386"/>
      <c r="E126" s="386"/>
      <c r="F126" s="386"/>
      <c r="G126" s="386"/>
      <c r="H126" s="386"/>
      <c r="I126" s="386"/>
      <c r="J126" s="387"/>
      <c r="K126" s="387"/>
      <c r="L126" s="387"/>
      <c r="M126" s="197"/>
      <c r="N126" s="196"/>
    </row>
    <row r="127" spans="1:14" x14ac:dyDescent="0.35">
      <c r="A127" s="231">
        <v>126</v>
      </c>
      <c r="B127" s="194"/>
      <c r="C127" s="195"/>
      <c r="D127" s="386"/>
      <c r="E127" s="386"/>
      <c r="F127" s="386"/>
      <c r="G127" s="386"/>
      <c r="H127" s="386"/>
      <c r="I127" s="386"/>
      <c r="J127" s="387"/>
      <c r="K127" s="387"/>
      <c r="L127" s="387"/>
      <c r="M127" s="197"/>
      <c r="N127" s="196"/>
    </row>
    <row r="128" spans="1:14" x14ac:dyDescent="0.35">
      <c r="A128" s="231">
        <v>127</v>
      </c>
      <c r="B128" s="194"/>
      <c r="C128" s="195"/>
      <c r="D128" s="386"/>
      <c r="E128" s="386"/>
      <c r="F128" s="386"/>
      <c r="G128" s="386"/>
      <c r="H128" s="386"/>
      <c r="I128" s="386"/>
      <c r="J128" s="387"/>
      <c r="K128" s="387"/>
      <c r="L128" s="387"/>
      <c r="M128" s="197"/>
      <c r="N128" s="196"/>
    </row>
    <row r="129" spans="1:14" x14ac:dyDescent="0.35">
      <c r="A129" s="231">
        <v>128</v>
      </c>
      <c r="B129" s="194"/>
      <c r="C129" s="195"/>
      <c r="D129" s="386"/>
      <c r="E129" s="386"/>
      <c r="F129" s="386"/>
      <c r="G129" s="386"/>
      <c r="H129" s="386"/>
      <c r="I129" s="386"/>
      <c r="J129" s="387"/>
      <c r="K129" s="387"/>
      <c r="L129" s="387"/>
      <c r="M129" s="197"/>
      <c r="N129" s="196"/>
    </row>
    <row r="130" spans="1:14" x14ac:dyDescent="0.35">
      <c r="A130" s="231">
        <v>129</v>
      </c>
      <c r="B130" s="194"/>
      <c r="C130" s="195"/>
      <c r="D130" s="386"/>
      <c r="E130" s="386"/>
      <c r="F130" s="386"/>
      <c r="G130" s="386"/>
      <c r="H130" s="386"/>
      <c r="I130" s="386"/>
      <c r="J130" s="387"/>
      <c r="K130" s="387"/>
      <c r="L130" s="387"/>
      <c r="M130" s="197"/>
      <c r="N130" s="196"/>
    </row>
    <row r="131" spans="1:14" x14ac:dyDescent="0.35">
      <c r="A131" s="231">
        <v>130</v>
      </c>
      <c r="B131" s="194"/>
      <c r="C131" s="195"/>
      <c r="D131" s="386"/>
      <c r="E131" s="386"/>
      <c r="F131" s="386"/>
      <c r="G131" s="386"/>
      <c r="H131" s="386"/>
      <c r="I131" s="386"/>
      <c r="J131" s="387"/>
      <c r="K131" s="387"/>
      <c r="L131" s="387"/>
      <c r="M131" s="197"/>
      <c r="N131" s="196"/>
    </row>
    <row r="132" spans="1:14" x14ac:dyDescent="0.35">
      <c r="A132" s="231">
        <v>131</v>
      </c>
      <c r="B132" s="194"/>
      <c r="C132" s="195"/>
      <c r="D132" s="386"/>
      <c r="E132" s="386"/>
      <c r="F132" s="386"/>
      <c r="G132" s="386"/>
      <c r="H132" s="386"/>
      <c r="I132" s="386"/>
      <c r="J132" s="387"/>
      <c r="K132" s="387"/>
      <c r="L132" s="387"/>
      <c r="M132" s="197"/>
      <c r="N132" s="196"/>
    </row>
    <row r="133" spans="1:14" x14ac:dyDescent="0.35">
      <c r="A133" s="231">
        <v>132</v>
      </c>
      <c r="B133" s="194"/>
      <c r="C133" s="195"/>
      <c r="D133" s="386"/>
      <c r="E133" s="386"/>
      <c r="F133" s="386"/>
      <c r="G133" s="386"/>
      <c r="H133" s="386"/>
      <c r="I133" s="386"/>
      <c r="J133" s="387"/>
      <c r="K133" s="387"/>
      <c r="L133" s="387"/>
      <c r="M133" s="197"/>
      <c r="N133" s="196"/>
    </row>
    <row r="134" spans="1:14" x14ac:dyDescent="0.35">
      <c r="A134" s="231">
        <v>133</v>
      </c>
      <c r="B134" s="194"/>
      <c r="C134" s="195"/>
      <c r="D134" s="386"/>
      <c r="E134" s="386"/>
      <c r="F134" s="386"/>
      <c r="G134" s="386"/>
      <c r="H134" s="386"/>
      <c r="I134" s="386"/>
      <c r="J134" s="387"/>
      <c r="K134" s="387"/>
      <c r="L134" s="387"/>
      <c r="M134" s="197"/>
      <c r="N134" s="196"/>
    </row>
    <row r="135" spans="1:14" x14ac:dyDescent="0.35">
      <c r="A135" s="231">
        <v>134</v>
      </c>
      <c r="B135" s="194"/>
      <c r="C135" s="195"/>
      <c r="D135" s="386"/>
      <c r="E135" s="386"/>
      <c r="F135" s="386"/>
      <c r="G135" s="386"/>
      <c r="H135" s="386"/>
      <c r="I135" s="386"/>
      <c r="J135" s="387"/>
      <c r="K135" s="387"/>
      <c r="L135" s="387"/>
      <c r="M135" s="197"/>
      <c r="N135" s="196"/>
    </row>
    <row r="136" spans="1:14" x14ac:dyDescent="0.35">
      <c r="A136" s="231">
        <v>135</v>
      </c>
      <c r="B136" s="194"/>
      <c r="C136" s="195"/>
      <c r="D136" s="386"/>
      <c r="E136" s="386"/>
      <c r="F136" s="386"/>
      <c r="G136" s="386"/>
      <c r="H136" s="386"/>
      <c r="I136" s="386"/>
      <c r="J136" s="387"/>
      <c r="K136" s="387"/>
      <c r="L136" s="387"/>
      <c r="M136" s="197"/>
      <c r="N136" s="196"/>
    </row>
    <row r="137" spans="1:14" x14ac:dyDescent="0.35">
      <c r="A137" s="231">
        <v>136</v>
      </c>
      <c r="B137" s="194"/>
      <c r="C137" s="195"/>
      <c r="D137" s="386"/>
      <c r="E137" s="386"/>
      <c r="F137" s="386"/>
      <c r="G137" s="386"/>
      <c r="H137" s="386"/>
      <c r="I137" s="386"/>
      <c r="J137" s="387"/>
      <c r="K137" s="387"/>
      <c r="L137" s="387"/>
      <c r="M137" s="197"/>
      <c r="N137" s="196"/>
    </row>
    <row r="138" spans="1:14" x14ac:dyDescent="0.35">
      <c r="A138" s="231">
        <v>137</v>
      </c>
      <c r="B138" s="194"/>
      <c r="C138" s="195"/>
      <c r="D138" s="386"/>
      <c r="E138" s="386"/>
      <c r="F138" s="386"/>
      <c r="G138" s="386"/>
      <c r="H138" s="386"/>
      <c r="I138" s="386"/>
      <c r="J138" s="387"/>
      <c r="K138" s="387"/>
      <c r="L138" s="387"/>
      <c r="M138" s="197"/>
      <c r="N138" s="196"/>
    </row>
    <row r="139" spans="1:14" x14ac:dyDescent="0.35">
      <c r="A139" s="231">
        <v>138</v>
      </c>
      <c r="B139" s="194"/>
      <c r="C139" s="195"/>
      <c r="D139" s="386"/>
      <c r="E139" s="386"/>
      <c r="F139" s="386"/>
      <c r="G139" s="386"/>
      <c r="H139" s="386"/>
      <c r="I139" s="386"/>
      <c r="J139" s="387"/>
      <c r="K139" s="387"/>
      <c r="L139" s="387"/>
      <c r="M139" s="197"/>
      <c r="N139" s="196"/>
    </row>
    <row r="140" spans="1:14" x14ac:dyDescent="0.35">
      <c r="A140" s="231">
        <v>139</v>
      </c>
      <c r="B140" s="194"/>
      <c r="C140" s="195"/>
      <c r="D140" s="386"/>
      <c r="E140" s="386"/>
      <c r="F140" s="386"/>
      <c r="G140" s="386"/>
      <c r="H140" s="386"/>
      <c r="I140" s="386"/>
      <c r="J140" s="387"/>
      <c r="K140" s="387"/>
      <c r="L140" s="387"/>
      <c r="M140" s="197"/>
      <c r="N140" s="196"/>
    </row>
    <row r="141" spans="1:14" x14ac:dyDescent="0.35">
      <c r="A141" s="231">
        <v>140</v>
      </c>
      <c r="B141" s="194"/>
      <c r="C141" s="195"/>
      <c r="D141" s="386"/>
      <c r="E141" s="386"/>
      <c r="F141" s="386"/>
      <c r="G141" s="386"/>
      <c r="H141" s="386"/>
      <c r="I141" s="386"/>
      <c r="J141" s="387"/>
      <c r="K141" s="387"/>
      <c r="L141" s="387"/>
      <c r="M141" s="197"/>
      <c r="N141" s="196"/>
    </row>
    <row r="142" spans="1:14" x14ac:dyDescent="0.35">
      <c r="A142" s="231">
        <v>141</v>
      </c>
      <c r="B142" s="194"/>
      <c r="C142" s="195"/>
      <c r="D142" s="386"/>
      <c r="E142" s="386"/>
      <c r="F142" s="386"/>
      <c r="G142" s="386"/>
      <c r="H142" s="386"/>
      <c r="I142" s="386"/>
      <c r="J142" s="387"/>
      <c r="K142" s="387"/>
      <c r="L142" s="387"/>
      <c r="M142" s="197"/>
      <c r="N142" s="196"/>
    </row>
    <row r="143" spans="1:14" x14ac:dyDescent="0.35">
      <c r="A143" s="231">
        <v>142</v>
      </c>
      <c r="B143" s="194"/>
      <c r="C143" s="195"/>
      <c r="D143" s="386"/>
      <c r="E143" s="386"/>
      <c r="F143" s="386"/>
      <c r="G143" s="386"/>
      <c r="H143" s="386"/>
      <c r="I143" s="386"/>
      <c r="J143" s="387"/>
      <c r="K143" s="387"/>
      <c r="L143" s="387"/>
      <c r="M143" s="197"/>
      <c r="N143" s="196"/>
    </row>
    <row r="144" spans="1:14" x14ac:dyDescent="0.35">
      <c r="A144" s="231">
        <v>143</v>
      </c>
      <c r="B144" s="194"/>
      <c r="C144" s="195"/>
      <c r="D144" s="386"/>
      <c r="E144" s="386"/>
      <c r="F144" s="386"/>
      <c r="G144" s="386"/>
      <c r="H144" s="386"/>
      <c r="I144" s="386"/>
      <c r="J144" s="387"/>
      <c r="K144" s="387"/>
      <c r="L144" s="387"/>
      <c r="M144" s="197"/>
      <c r="N144" s="196"/>
    </row>
    <row r="145" spans="1:14" x14ac:dyDescent="0.35">
      <c r="A145" s="231">
        <v>144</v>
      </c>
      <c r="B145" s="194"/>
      <c r="C145" s="195"/>
      <c r="D145" s="386"/>
      <c r="E145" s="386"/>
      <c r="F145" s="386"/>
      <c r="G145" s="386"/>
      <c r="H145" s="386"/>
      <c r="I145" s="386"/>
      <c r="J145" s="387"/>
      <c r="K145" s="387"/>
      <c r="L145" s="387"/>
      <c r="M145" s="197"/>
      <c r="N145" s="196"/>
    </row>
    <row r="146" spans="1:14" x14ac:dyDescent="0.35">
      <c r="A146" s="231">
        <v>145</v>
      </c>
      <c r="B146" s="194"/>
      <c r="C146" s="195"/>
      <c r="D146" s="386"/>
      <c r="E146" s="386"/>
      <c r="F146" s="386"/>
      <c r="G146" s="386"/>
      <c r="H146" s="386"/>
      <c r="I146" s="386"/>
      <c r="J146" s="387"/>
      <c r="K146" s="387"/>
      <c r="L146" s="387"/>
      <c r="M146" s="197"/>
      <c r="N146" s="196"/>
    </row>
    <row r="147" spans="1:14" x14ac:dyDescent="0.35">
      <c r="A147" s="231">
        <v>146</v>
      </c>
      <c r="B147" s="194"/>
      <c r="C147" s="195"/>
      <c r="D147" s="386"/>
      <c r="E147" s="386"/>
      <c r="F147" s="386"/>
      <c r="G147" s="386"/>
      <c r="H147" s="386"/>
      <c r="I147" s="386"/>
      <c r="J147" s="387"/>
      <c r="K147" s="387"/>
      <c r="L147" s="387"/>
      <c r="M147" s="197"/>
      <c r="N147" s="196"/>
    </row>
    <row r="148" spans="1:14" x14ac:dyDescent="0.35">
      <c r="A148" s="231">
        <v>147</v>
      </c>
      <c r="B148" s="194"/>
      <c r="C148" s="195"/>
      <c r="D148" s="386"/>
      <c r="E148" s="386"/>
      <c r="F148" s="386"/>
      <c r="G148" s="386"/>
      <c r="H148" s="386"/>
      <c r="I148" s="386"/>
      <c r="J148" s="387"/>
      <c r="K148" s="387"/>
      <c r="L148" s="387"/>
      <c r="M148" s="197"/>
      <c r="N148" s="196"/>
    </row>
    <row r="149" spans="1:14" x14ac:dyDescent="0.35">
      <c r="A149" s="231">
        <v>148</v>
      </c>
      <c r="B149" s="194"/>
      <c r="C149" s="195"/>
      <c r="D149" s="386"/>
      <c r="E149" s="386"/>
      <c r="F149" s="386"/>
      <c r="G149" s="386"/>
      <c r="H149" s="386"/>
      <c r="I149" s="386"/>
      <c r="J149" s="387"/>
      <c r="K149" s="387"/>
      <c r="L149" s="387"/>
      <c r="M149" s="197"/>
      <c r="N149" s="196"/>
    </row>
    <row r="150" spans="1:14" x14ac:dyDescent="0.35">
      <c r="A150" s="231">
        <v>149</v>
      </c>
      <c r="B150" s="194"/>
      <c r="C150" s="195"/>
      <c r="D150" s="386"/>
      <c r="E150" s="386"/>
      <c r="F150" s="386"/>
      <c r="G150" s="386"/>
      <c r="H150" s="386"/>
      <c r="I150" s="386"/>
      <c r="J150" s="387"/>
      <c r="K150" s="387"/>
      <c r="L150" s="387"/>
      <c r="M150" s="197"/>
      <c r="N150" s="196"/>
    </row>
    <row r="151" spans="1:14" x14ac:dyDescent="0.35">
      <c r="A151" s="231">
        <v>150</v>
      </c>
      <c r="B151" s="194"/>
      <c r="C151" s="195"/>
      <c r="D151" s="386"/>
      <c r="E151" s="386"/>
      <c r="F151" s="386"/>
      <c r="G151" s="386"/>
      <c r="H151" s="386"/>
      <c r="I151" s="386"/>
      <c r="J151" s="387"/>
      <c r="K151" s="387"/>
      <c r="L151" s="387"/>
      <c r="M151" s="197"/>
      <c r="N151" s="196"/>
    </row>
    <row r="152" spans="1:14" x14ac:dyDescent="0.35">
      <c r="A152" s="231">
        <v>151</v>
      </c>
      <c r="B152" s="194"/>
      <c r="C152" s="195"/>
      <c r="D152" s="386"/>
      <c r="E152" s="386"/>
      <c r="F152" s="386"/>
      <c r="G152" s="386"/>
      <c r="H152" s="386"/>
      <c r="I152" s="386"/>
      <c r="J152" s="387"/>
      <c r="K152" s="387"/>
      <c r="L152" s="387"/>
      <c r="M152" s="197"/>
      <c r="N152" s="196"/>
    </row>
    <row r="153" spans="1:14" x14ac:dyDescent="0.35">
      <c r="A153" s="231">
        <v>152</v>
      </c>
      <c r="B153" s="194"/>
      <c r="C153" s="195"/>
      <c r="D153" s="386"/>
      <c r="E153" s="386"/>
      <c r="F153" s="386"/>
      <c r="G153" s="386"/>
      <c r="H153" s="386"/>
      <c r="I153" s="386"/>
      <c r="J153" s="387"/>
      <c r="K153" s="387"/>
      <c r="L153" s="387"/>
      <c r="M153" s="197"/>
      <c r="N153" s="196"/>
    </row>
    <row r="154" spans="1:14" x14ac:dyDescent="0.35">
      <c r="A154" s="231">
        <v>153</v>
      </c>
      <c r="B154" s="194"/>
      <c r="C154" s="195"/>
      <c r="D154" s="386"/>
      <c r="E154" s="386"/>
      <c r="F154" s="386"/>
      <c r="G154" s="386"/>
      <c r="H154" s="386"/>
      <c r="I154" s="386"/>
      <c r="J154" s="387"/>
      <c r="K154" s="387"/>
      <c r="L154" s="387"/>
      <c r="M154" s="197"/>
      <c r="N154" s="196"/>
    </row>
    <row r="155" spans="1:14" x14ac:dyDescent="0.35">
      <c r="A155" s="231">
        <v>154</v>
      </c>
      <c r="B155" s="194"/>
      <c r="C155" s="195"/>
      <c r="D155" s="386"/>
      <c r="E155" s="386"/>
      <c r="F155" s="386"/>
      <c r="G155" s="386"/>
      <c r="H155" s="386"/>
      <c r="I155" s="386"/>
      <c r="J155" s="387"/>
      <c r="K155" s="387"/>
      <c r="L155" s="387"/>
      <c r="M155" s="197"/>
      <c r="N155" s="196"/>
    </row>
    <row r="156" spans="1:14" x14ac:dyDescent="0.35">
      <c r="A156" s="231">
        <v>155</v>
      </c>
      <c r="B156" s="194"/>
      <c r="C156" s="195"/>
      <c r="D156" s="386"/>
      <c r="E156" s="386"/>
      <c r="F156" s="386"/>
      <c r="G156" s="386"/>
      <c r="H156" s="386"/>
      <c r="I156" s="386"/>
      <c r="J156" s="387"/>
      <c r="K156" s="387"/>
      <c r="L156" s="387"/>
      <c r="M156" s="197"/>
      <c r="N156" s="196"/>
    </row>
    <row r="157" spans="1:14" x14ac:dyDescent="0.35">
      <c r="A157" s="231">
        <v>156</v>
      </c>
      <c r="B157" s="194"/>
      <c r="C157" s="195"/>
      <c r="D157" s="386"/>
      <c r="E157" s="386"/>
      <c r="F157" s="386"/>
      <c r="G157" s="386"/>
      <c r="H157" s="386"/>
      <c r="I157" s="386"/>
      <c r="J157" s="387"/>
      <c r="K157" s="387"/>
      <c r="L157" s="387"/>
      <c r="M157" s="197"/>
      <c r="N157" s="196"/>
    </row>
    <row r="158" spans="1:14" x14ac:dyDescent="0.35">
      <c r="A158" s="231">
        <v>157</v>
      </c>
      <c r="B158" s="194"/>
      <c r="C158" s="195"/>
      <c r="D158" s="386"/>
      <c r="E158" s="386"/>
      <c r="F158" s="386"/>
      <c r="G158" s="386"/>
      <c r="H158" s="386"/>
      <c r="I158" s="386"/>
      <c r="J158" s="387"/>
      <c r="K158" s="387"/>
      <c r="L158" s="387"/>
      <c r="M158" s="197"/>
      <c r="N158" s="196"/>
    </row>
    <row r="159" spans="1:14" x14ac:dyDescent="0.35">
      <c r="A159" s="231">
        <v>158</v>
      </c>
      <c r="B159" s="194"/>
      <c r="C159" s="195"/>
      <c r="D159" s="386"/>
      <c r="E159" s="386"/>
      <c r="F159" s="386"/>
      <c r="G159" s="386"/>
      <c r="H159" s="386"/>
      <c r="I159" s="386"/>
      <c r="J159" s="387"/>
      <c r="K159" s="387"/>
      <c r="L159" s="387"/>
      <c r="M159" s="197"/>
      <c r="N159" s="196"/>
    </row>
    <row r="160" spans="1:14" x14ac:dyDescent="0.35">
      <c r="A160" s="231">
        <v>159</v>
      </c>
      <c r="B160" s="194"/>
      <c r="C160" s="195"/>
      <c r="D160" s="386"/>
      <c r="E160" s="386"/>
      <c r="F160" s="386"/>
      <c r="G160" s="386"/>
      <c r="H160" s="386"/>
      <c r="I160" s="386"/>
      <c r="J160" s="387"/>
      <c r="K160" s="387"/>
      <c r="L160" s="387"/>
      <c r="M160" s="197"/>
      <c r="N160" s="196"/>
    </row>
    <row r="161" spans="1:14" x14ac:dyDescent="0.35">
      <c r="A161" s="231">
        <v>160</v>
      </c>
      <c r="B161" s="194"/>
      <c r="C161" s="195"/>
      <c r="D161" s="386"/>
      <c r="E161" s="386"/>
      <c r="F161" s="386"/>
      <c r="G161" s="386"/>
      <c r="H161" s="386"/>
      <c r="I161" s="386"/>
      <c r="J161" s="387"/>
      <c r="K161" s="387"/>
      <c r="L161" s="387"/>
      <c r="M161" s="197"/>
      <c r="N161" s="196"/>
    </row>
    <row r="162" spans="1:14" x14ac:dyDescent="0.35">
      <c r="A162" s="231">
        <v>161</v>
      </c>
      <c r="B162" s="194"/>
      <c r="C162" s="195"/>
      <c r="D162" s="386"/>
      <c r="E162" s="386"/>
      <c r="F162" s="386"/>
      <c r="G162" s="386"/>
      <c r="H162" s="386"/>
      <c r="I162" s="386"/>
      <c r="J162" s="387"/>
      <c r="K162" s="387"/>
      <c r="L162" s="387"/>
      <c r="M162" s="197"/>
      <c r="N162" s="196"/>
    </row>
    <row r="163" spans="1:14" x14ac:dyDescent="0.35">
      <c r="A163" s="231">
        <v>162</v>
      </c>
      <c r="B163" s="194"/>
      <c r="C163" s="195"/>
      <c r="D163" s="386"/>
      <c r="E163" s="386"/>
      <c r="F163" s="386"/>
      <c r="G163" s="386"/>
      <c r="H163" s="386"/>
      <c r="I163" s="386"/>
      <c r="J163" s="387"/>
      <c r="K163" s="387"/>
      <c r="L163" s="387"/>
      <c r="M163" s="197"/>
      <c r="N163" s="196"/>
    </row>
    <row r="164" spans="1:14" x14ac:dyDescent="0.35">
      <c r="A164" s="231">
        <v>163</v>
      </c>
      <c r="B164" s="194"/>
      <c r="C164" s="195"/>
      <c r="D164" s="386"/>
      <c r="E164" s="386"/>
      <c r="F164" s="386"/>
      <c r="G164" s="386"/>
      <c r="H164" s="386"/>
      <c r="I164" s="386"/>
      <c r="J164" s="387"/>
      <c r="K164" s="387"/>
      <c r="L164" s="387"/>
      <c r="M164" s="197"/>
      <c r="N164" s="196"/>
    </row>
    <row r="165" spans="1:14" x14ac:dyDescent="0.35">
      <c r="A165" s="231">
        <v>164</v>
      </c>
      <c r="B165" s="194"/>
      <c r="C165" s="195"/>
      <c r="D165" s="386"/>
      <c r="E165" s="386"/>
      <c r="F165" s="386"/>
      <c r="G165" s="386"/>
      <c r="H165" s="386"/>
      <c r="I165" s="386"/>
      <c r="J165" s="387"/>
      <c r="K165" s="387"/>
      <c r="L165" s="387"/>
      <c r="M165" s="197"/>
      <c r="N165" s="196"/>
    </row>
    <row r="166" spans="1:14" x14ac:dyDescent="0.35">
      <c r="A166" s="231">
        <v>165</v>
      </c>
      <c r="B166" s="194"/>
      <c r="C166" s="195"/>
      <c r="D166" s="386"/>
      <c r="E166" s="386"/>
      <c r="F166" s="386"/>
      <c r="G166" s="386"/>
      <c r="H166" s="386"/>
      <c r="I166" s="386"/>
      <c r="J166" s="387"/>
      <c r="K166" s="387"/>
      <c r="L166" s="387"/>
      <c r="M166" s="197"/>
      <c r="N166" s="196"/>
    </row>
    <row r="167" spans="1:14" x14ac:dyDescent="0.35">
      <c r="A167" s="231">
        <v>166</v>
      </c>
      <c r="B167" s="194"/>
      <c r="C167" s="195"/>
      <c r="D167" s="386"/>
      <c r="E167" s="386"/>
      <c r="F167" s="386"/>
      <c r="G167" s="386"/>
      <c r="H167" s="386"/>
      <c r="I167" s="386"/>
      <c r="J167" s="387"/>
      <c r="K167" s="387"/>
      <c r="L167" s="387"/>
      <c r="M167" s="197"/>
      <c r="N167" s="196"/>
    </row>
    <row r="168" spans="1:14" x14ac:dyDescent="0.35">
      <c r="A168" s="231">
        <v>167</v>
      </c>
      <c r="B168" s="194"/>
      <c r="C168" s="195"/>
      <c r="D168" s="386"/>
      <c r="E168" s="386"/>
      <c r="F168" s="386"/>
      <c r="G168" s="386"/>
      <c r="H168" s="386"/>
      <c r="I168" s="386"/>
      <c r="J168" s="387"/>
      <c r="K168" s="387"/>
      <c r="L168" s="387"/>
      <c r="M168" s="197"/>
      <c r="N168" s="196"/>
    </row>
    <row r="169" spans="1:14" x14ac:dyDescent="0.35">
      <c r="A169" s="231">
        <v>168</v>
      </c>
      <c r="B169" s="194"/>
      <c r="C169" s="195"/>
      <c r="D169" s="386"/>
      <c r="E169" s="386"/>
      <c r="F169" s="386"/>
      <c r="G169" s="386"/>
      <c r="H169" s="386"/>
      <c r="I169" s="386"/>
      <c r="J169" s="387"/>
      <c r="K169" s="387"/>
      <c r="L169" s="387"/>
      <c r="M169" s="197"/>
      <c r="N169" s="196"/>
    </row>
    <row r="170" spans="1:14" x14ac:dyDescent="0.35">
      <c r="A170" s="231">
        <v>169</v>
      </c>
      <c r="B170" s="194"/>
      <c r="C170" s="195"/>
      <c r="D170" s="386"/>
      <c r="E170" s="386"/>
      <c r="F170" s="386"/>
      <c r="G170" s="386"/>
      <c r="H170" s="386"/>
      <c r="I170" s="386"/>
      <c r="J170" s="387"/>
      <c r="K170" s="387"/>
      <c r="L170" s="387"/>
      <c r="M170" s="197"/>
      <c r="N170" s="196"/>
    </row>
    <row r="171" spans="1:14" x14ac:dyDescent="0.35">
      <c r="A171" s="231">
        <v>170</v>
      </c>
      <c r="B171" s="194"/>
      <c r="C171" s="195"/>
      <c r="D171" s="386"/>
      <c r="E171" s="386"/>
      <c r="F171" s="386"/>
      <c r="G171" s="386"/>
      <c r="H171" s="386"/>
      <c r="I171" s="386"/>
      <c r="J171" s="387"/>
      <c r="K171" s="387"/>
      <c r="L171" s="387"/>
      <c r="M171" s="197"/>
      <c r="N171" s="196"/>
    </row>
    <row r="172" spans="1:14" x14ac:dyDescent="0.35">
      <c r="A172" s="231">
        <v>171</v>
      </c>
      <c r="B172" s="194"/>
      <c r="C172" s="195"/>
      <c r="D172" s="386"/>
      <c r="E172" s="386"/>
      <c r="F172" s="386"/>
      <c r="G172" s="386"/>
      <c r="H172" s="386"/>
      <c r="I172" s="386"/>
      <c r="J172" s="387"/>
      <c r="K172" s="387"/>
      <c r="L172" s="387"/>
      <c r="M172" s="197"/>
      <c r="N172" s="196"/>
    </row>
    <row r="173" spans="1:14" x14ac:dyDescent="0.35">
      <c r="A173" s="231">
        <v>172</v>
      </c>
      <c r="B173" s="194"/>
      <c r="C173" s="195"/>
      <c r="D173" s="386"/>
      <c r="E173" s="386"/>
      <c r="F173" s="386"/>
      <c r="G173" s="386"/>
      <c r="H173" s="386"/>
      <c r="I173" s="386"/>
      <c r="J173" s="387"/>
      <c r="K173" s="387"/>
      <c r="L173" s="387"/>
      <c r="M173" s="197"/>
      <c r="N173" s="196"/>
    </row>
    <row r="174" spans="1:14" x14ac:dyDescent="0.35">
      <c r="A174" s="231">
        <v>173</v>
      </c>
      <c r="B174" s="194"/>
      <c r="C174" s="195"/>
      <c r="D174" s="386"/>
      <c r="E174" s="386"/>
      <c r="F174" s="386"/>
      <c r="G174" s="386"/>
      <c r="H174" s="386"/>
      <c r="I174" s="386"/>
      <c r="J174" s="387"/>
      <c r="K174" s="387"/>
      <c r="L174" s="387"/>
      <c r="M174" s="197"/>
      <c r="N174" s="196"/>
    </row>
    <row r="175" spans="1:14" x14ac:dyDescent="0.35">
      <c r="A175" s="231">
        <v>174</v>
      </c>
      <c r="B175" s="194"/>
      <c r="C175" s="195"/>
      <c r="D175" s="386"/>
      <c r="E175" s="386"/>
      <c r="F175" s="386"/>
      <c r="G175" s="386"/>
      <c r="H175" s="386"/>
      <c r="I175" s="386"/>
      <c r="J175" s="387"/>
      <c r="K175" s="387"/>
      <c r="L175" s="387"/>
      <c r="M175" s="197"/>
      <c r="N175" s="196"/>
    </row>
    <row r="176" spans="1:14" x14ac:dyDescent="0.35">
      <c r="A176" s="231">
        <v>175</v>
      </c>
      <c r="B176" s="194"/>
      <c r="C176" s="195"/>
      <c r="D176" s="386"/>
      <c r="E176" s="386"/>
      <c r="F176" s="386"/>
      <c r="G176" s="386"/>
      <c r="H176" s="386"/>
      <c r="I176" s="386"/>
      <c r="J176" s="387"/>
      <c r="K176" s="387"/>
      <c r="L176" s="387"/>
      <c r="M176" s="197"/>
      <c r="N176" s="196"/>
    </row>
    <row r="177" spans="1:14" x14ac:dyDescent="0.35">
      <c r="A177" s="231">
        <v>176</v>
      </c>
      <c r="B177" s="194"/>
      <c r="C177" s="195"/>
      <c r="D177" s="386"/>
      <c r="E177" s="386"/>
      <c r="F177" s="386"/>
      <c r="G177" s="386"/>
      <c r="H177" s="386"/>
      <c r="I177" s="386"/>
      <c r="J177" s="387"/>
      <c r="K177" s="387"/>
      <c r="L177" s="387"/>
      <c r="M177" s="197"/>
      <c r="N177" s="196"/>
    </row>
    <row r="178" spans="1:14" x14ac:dyDescent="0.35">
      <c r="A178" s="231">
        <v>177</v>
      </c>
      <c r="B178" s="194"/>
      <c r="C178" s="195"/>
      <c r="D178" s="386"/>
      <c r="E178" s="386"/>
      <c r="F178" s="386"/>
      <c r="G178" s="386"/>
      <c r="H178" s="386"/>
      <c r="I178" s="386"/>
      <c r="J178" s="387"/>
      <c r="K178" s="387"/>
      <c r="L178" s="387"/>
      <c r="M178" s="197"/>
      <c r="N178" s="196"/>
    </row>
    <row r="179" spans="1:14" x14ac:dyDescent="0.35">
      <c r="A179" s="231">
        <v>178</v>
      </c>
      <c r="B179" s="194"/>
      <c r="C179" s="195"/>
      <c r="D179" s="386"/>
      <c r="E179" s="386"/>
      <c r="F179" s="386"/>
      <c r="G179" s="386"/>
      <c r="H179" s="386"/>
      <c r="I179" s="386"/>
      <c r="J179" s="387"/>
      <c r="K179" s="387"/>
      <c r="L179" s="387"/>
      <c r="M179" s="197"/>
      <c r="N179" s="196"/>
    </row>
    <row r="180" spans="1:14" x14ac:dyDescent="0.35">
      <c r="A180" s="231">
        <v>179</v>
      </c>
      <c r="B180" s="194"/>
      <c r="C180" s="195"/>
      <c r="D180" s="386"/>
      <c r="E180" s="386"/>
      <c r="F180" s="386"/>
      <c r="G180" s="386"/>
      <c r="H180" s="386"/>
      <c r="I180" s="386"/>
      <c r="J180" s="387"/>
      <c r="K180" s="387"/>
      <c r="L180" s="387"/>
      <c r="M180" s="197"/>
      <c r="N180" s="196"/>
    </row>
    <row r="181" spans="1:14" x14ac:dyDescent="0.35">
      <c r="A181" s="231">
        <v>180</v>
      </c>
      <c r="B181" s="194"/>
      <c r="C181" s="195"/>
      <c r="D181" s="386"/>
      <c r="E181" s="386"/>
      <c r="F181" s="386"/>
      <c r="G181" s="386"/>
      <c r="H181" s="386"/>
      <c r="I181" s="386"/>
      <c r="J181" s="387"/>
      <c r="K181" s="387"/>
      <c r="L181" s="387"/>
      <c r="M181" s="197"/>
      <c r="N181" s="196"/>
    </row>
    <row r="182" spans="1:14" x14ac:dyDescent="0.35">
      <c r="A182" s="231">
        <v>181</v>
      </c>
      <c r="B182" s="194"/>
      <c r="C182" s="195"/>
      <c r="D182" s="386"/>
      <c r="E182" s="386"/>
      <c r="F182" s="386"/>
      <c r="G182" s="386"/>
      <c r="H182" s="386"/>
      <c r="I182" s="386"/>
      <c r="J182" s="387"/>
      <c r="K182" s="387"/>
      <c r="L182" s="387"/>
      <c r="M182" s="197"/>
      <c r="N182" s="196"/>
    </row>
    <row r="183" spans="1:14" x14ac:dyDescent="0.35">
      <c r="A183" s="231">
        <v>182</v>
      </c>
      <c r="B183" s="194"/>
      <c r="C183" s="195"/>
      <c r="D183" s="386"/>
      <c r="E183" s="386"/>
      <c r="F183" s="386"/>
      <c r="G183" s="386"/>
      <c r="H183" s="386"/>
      <c r="I183" s="386"/>
      <c r="J183" s="387"/>
      <c r="K183" s="387"/>
      <c r="L183" s="387"/>
      <c r="M183" s="197"/>
      <c r="N183" s="196"/>
    </row>
    <row r="184" spans="1:14" x14ac:dyDescent="0.35">
      <c r="A184" s="231">
        <v>183</v>
      </c>
      <c r="B184" s="194"/>
      <c r="C184" s="195"/>
      <c r="D184" s="386"/>
      <c r="E184" s="386"/>
      <c r="F184" s="386"/>
      <c r="G184" s="386"/>
      <c r="H184" s="386"/>
      <c r="I184" s="386"/>
      <c r="J184" s="387"/>
      <c r="K184" s="387"/>
      <c r="L184" s="387"/>
      <c r="M184" s="197"/>
      <c r="N184" s="196"/>
    </row>
    <row r="185" spans="1:14" x14ac:dyDescent="0.35">
      <c r="A185" s="231">
        <v>184</v>
      </c>
      <c r="B185" s="194"/>
      <c r="C185" s="195"/>
      <c r="D185" s="386"/>
      <c r="E185" s="386"/>
      <c r="F185" s="386"/>
      <c r="G185" s="386"/>
      <c r="H185" s="386"/>
      <c r="I185" s="386"/>
      <c r="J185" s="387"/>
      <c r="K185" s="387"/>
      <c r="L185" s="387"/>
      <c r="M185" s="197"/>
      <c r="N185" s="196"/>
    </row>
    <row r="186" spans="1:14" x14ac:dyDescent="0.35">
      <c r="A186" s="231">
        <v>185</v>
      </c>
      <c r="B186" s="194"/>
      <c r="C186" s="195"/>
      <c r="D186" s="386"/>
      <c r="E186" s="386"/>
      <c r="F186" s="386"/>
      <c r="G186" s="386"/>
      <c r="H186" s="386"/>
      <c r="I186" s="386"/>
      <c r="J186" s="387"/>
      <c r="K186" s="387"/>
      <c r="L186" s="387"/>
      <c r="M186" s="197"/>
      <c r="N186" s="196"/>
    </row>
    <row r="187" spans="1:14" x14ac:dyDescent="0.35">
      <c r="A187" s="231">
        <v>186</v>
      </c>
      <c r="B187" s="194"/>
      <c r="C187" s="195"/>
      <c r="D187" s="386"/>
      <c r="E187" s="386"/>
      <c r="F187" s="386"/>
      <c r="G187" s="386"/>
      <c r="H187" s="386"/>
      <c r="I187" s="386"/>
      <c r="J187" s="387"/>
      <c r="K187" s="387"/>
      <c r="L187" s="387"/>
      <c r="M187" s="197"/>
      <c r="N187" s="196"/>
    </row>
    <row r="188" spans="1:14" x14ac:dyDescent="0.35">
      <c r="A188" s="231">
        <v>187</v>
      </c>
      <c r="B188" s="194"/>
      <c r="C188" s="195"/>
      <c r="D188" s="386"/>
      <c r="E188" s="386"/>
      <c r="F188" s="386"/>
      <c r="G188" s="386"/>
      <c r="H188" s="386"/>
      <c r="I188" s="386"/>
      <c r="J188" s="387"/>
      <c r="K188" s="387"/>
      <c r="L188" s="387"/>
      <c r="M188" s="197"/>
      <c r="N188" s="196"/>
    </row>
    <row r="189" spans="1:14" x14ac:dyDescent="0.35">
      <c r="A189" s="231">
        <v>188</v>
      </c>
      <c r="B189" s="194"/>
      <c r="C189" s="195"/>
      <c r="D189" s="386"/>
      <c r="E189" s="386"/>
      <c r="F189" s="386"/>
      <c r="G189" s="386"/>
      <c r="H189" s="386"/>
      <c r="I189" s="386"/>
      <c r="J189" s="387"/>
      <c r="K189" s="387"/>
      <c r="L189" s="387"/>
      <c r="M189" s="197"/>
      <c r="N189" s="196"/>
    </row>
    <row r="190" spans="1:14" x14ac:dyDescent="0.35">
      <c r="A190" s="231">
        <v>189</v>
      </c>
      <c r="B190" s="194"/>
      <c r="C190" s="195"/>
      <c r="D190" s="386"/>
      <c r="E190" s="386"/>
      <c r="F190" s="386"/>
      <c r="G190" s="386"/>
      <c r="H190" s="386"/>
      <c r="I190" s="386"/>
      <c r="J190" s="387"/>
      <c r="K190" s="387"/>
      <c r="L190" s="387"/>
      <c r="M190" s="197"/>
      <c r="N190" s="196"/>
    </row>
    <row r="191" spans="1:14" x14ac:dyDescent="0.35">
      <c r="A191" s="231">
        <v>190</v>
      </c>
      <c r="B191" s="194"/>
      <c r="C191" s="195"/>
      <c r="D191" s="386"/>
      <c r="E191" s="386"/>
      <c r="F191" s="386"/>
      <c r="G191" s="386"/>
      <c r="H191" s="386"/>
      <c r="I191" s="386"/>
      <c r="J191" s="387"/>
      <c r="K191" s="387"/>
      <c r="L191" s="387"/>
      <c r="M191" s="197"/>
      <c r="N191" s="196"/>
    </row>
    <row r="192" spans="1:14" x14ac:dyDescent="0.35">
      <c r="A192" s="231">
        <v>191</v>
      </c>
      <c r="B192" s="194"/>
      <c r="C192" s="195"/>
      <c r="D192" s="386"/>
      <c r="E192" s="386"/>
      <c r="F192" s="386"/>
      <c r="G192" s="386"/>
      <c r="H192" s="386"/>
      <c r="I192" s="386"/>
      <c r="J192" s="387"/>
      <c r="K192" s="387"/>
      <c r="L192" s="387"/>
      <c r="M192" s="197"/>
      <c r="N192" s="196"/>
    </row>
    <row r="193" spans="1:14" x14ac:dyDescent="0.35">
      <c r="A193" s="231">
        <v>192</v>
      </c>
      <c r="B193" s="194"/>
      <c r="C193" s="195"/>
      <c r="D193" s="386"/>
      <c r="E193" s="386"/>
      <c r="F193" s="386"/>
      <c r="G193" s="386"/>
      <c r="H193" s="386"/>
      <c r="I193" s="386"/>
      <c r="J193" s="387"/>
      <c r="K193" s="387"/>
      <c r="L193" s="387"/>
      <c r="M193" s="197"/>
      <c r="N193" s="196"/>
    </row>
    <row r="194" spans="1:14" x14ac:dyDescent="0.35">
      <c r="A194" s="231">
        <v>193</v>
      </c>
      <c r="B194" s="194"/>
      <c r="C194" s="195"/>
      <c r="D194" s="386"/>
      <c r="E194" s="386"/>
      <c r="F194" s="386"/>
      <c r="G194" s="386"/>
      <c r="H194" s="386"/>
      <c r="I194" s="386"/>
      <c r="J194" s="387"/>
      <c r="K194" s="387"/>
      <c r="L194" s="387"/>
      <c r="M194" s="197"/>
      <c r="N194" s="196"/>
    </row>
    <row r="195" spans="1:14" x14ac:dyDescent="0.35">
      <c r="A195" s="231">
        <v>194</v>
      </c>
      <c r="B195" s="194"/>
      <c r="C195" s="195"/>
      <c r="D195" s="386"/>
      <c r="E195" s="386"/>
      <c r="F195" s="386"/>
      <c r="G195" s="386"/>
      <c r="H195" s="386"/>
      <c r="I195" s="386"/>
      <c r="J195" s="387"/>
      <c r="K195" s="387"/>
      <c r="L195" s="387"/>
      <c r="M195" s="197"/>
      <c r="N195" s="196"/>
    </row>
    <row r="196" spans="1:14" x14ac:dyDescent="0.35">
      <c r="A196" s="231">
        <v>195</v>
      </c>
      <c r="B196" s="194"/>
      <c r="C196" s="195"/>
      <c r="D196" s="386"/>
      <c r="E196" s="386"/>
      <c r="F196" s="386"/>
      <c r="G196" s="386"/>
      <c r="H196" s="386"/>
      <c r="I196" s="386"/>
      <c r="J196" s="387"/>
      <c r="K196" s="387"/>
      <c r="L196" s="387"/>
      <c r="M196" s="197"/>
      <c r="N196" s="196"/>
    </row>
    <row r="197" spans="1:14" x14ac:dyDescent="0.35">
      <c r="A197" s="231">
        <v>196</v>
      </c>
      <c r="B197" s="194"/>
      <c r="C197" s="195"/>
      <c r="D197" s="386"/>
      <c r="E197" s="386"/>
      <c r="F197" s="386"/>
      <c r="G197" s="386"/>
      <c r="H197" s="386"/>
      <c r="I197" s="386"/>
      <c r="J197" s="387"/>
      <c r="K197" s="387"/>
      <c r="L197" s="387"/>
      <c r="M197" s="197"/>
      <c r="N197" s="196"/>
    </row>
    <row r="198" spans="1:14" x14ac:dyDescent="0.35">
      <c r="A198" s="231">
        <v>197</v>
      </c>
      <c r="B198" s="194"/>
      <c r="C198" s="195"/>
      <c r="D198" s="386"/>
      <c r="E198" s="386"/>
      <c r="F198" s="386"/>
      <c r="G198" s="386"/>
      <c r="H198" s="386"/>
      <c r="I198" s="386"/>
      <c r="J198" s="387"/>
      <c r="K198" s="387"/>
      <c r="L198" s="387"/>
      <c r="M198" s="197"/>
      <c r="N198" s="196"/>
    </row>
    <row r="199" spans="1:14" x14ac:dyDescent="0.35">
      <c r="A199" s="231">
        <v>198</v>
      </c>
      <c r="B199" s="194"/>
      <c r="C199" s="195"/>
      <c r="D199" s="386"/>
      <c r="E199" s="386"/>
      <c r="F199" s="386"/>
      <c r="G199" s="386"/>
      <c r="H199" s="386"/>
      <c r="I199" s="386"/>
      <c r="J199" s="387"/>
      <c r="K199" s="387"/>
      <c r="L199" s="387"/>
      <c r="M199" s="197"/>
      <c r="N199" s="196"/>
    </row>
    <row r="200" spans="1:14" x14ac:dyDescent="0.35">
      <c r="A200" s="231">
        <v>199</v>
      </c>
      <c r="B200" s="194"/>
      <c r="C200" s="195"/>
      <c r="D200" s="386"/>
      <c r="E200" s="386"/>
      <c r="F200" s="386"/>
      <c r="G200" s="386"/>
      <c r="H200" s="386"/>
      <c r="I200" s="386"/>
      <c r="J200" s="387"/>
      <c r="K200" s="387"/>
      <c r="L200" s="387"/>
      <c r="M200" s="197"/>
      <c r="N200" s="196"/>
    </row>
    <row r="201" spans="1:14" x14ac:dyDescent="0.35">
      <c r="A201" s="231">
        <v>200</v>
      </c>
      <c r="B201" s="194"/>
      <c r="C201" s="195"/>
      <c r="D201" s="386"/>
      <c r="E201" s="386"/>
      <c r="F201" s="386"/>
      <c r="G201" s="386"/>
      <c r="H201" s="386"/>
      <c r="I201" s="386"/>
      <c r="J201" s="387"/>
      <c r="K201" s="387"/>
      <c r="L201" s="387"/>
      <c r="M201" s="197"/>
      <c r="N201" s="196"/>
    </row>
    <row r="202" spans="1:14" x14ac:dyDescent="0.35">
      <c r="A202" s="231">
        <v>201</v>
      </c>
      <c r="B202" s="194"/>
      <c r="C202" s="195"/>
      <c r="D202" s="386"/>
      <c r="E202" s="386"/>
      <c r="F202" s="386"/>
      <c r="G202" s="386"/>
      <c r="H202" s="386"/>
      <c r="I202" s="386"/>
      <c r="J202" s="387"/>
      <c r="K202" s="387"/>
      <c r="L202" s="387"/>
      <c r="M202" s="197"/>
      <c r="N202" s="196"/>
    </row>
    <row r="203" spans="1:14" x14ac:dyDescent="0.35">
      <c r="A203" s="231">
        <v>202</v>
      </c>
      <c r="B203" s="194"/>
      <c r="C203" s="195"/>
      <c r="D203" s="386"/>
      <c r="E203" s="386"/>
      <c r="F203" s="386"/>
      <c r="G203" s="386"/>
      <c r="H203" s="386"/>
      <c r="I203" s="386"/>
      <c r="J203" s="387"/>
      <c r="K203" s="387"/>
      <c r="L203" s="387"/>
      <c r="M203" s="197"/>
      <c r="N203" s="196"/>
    </row>
    <row r="204" spans="1:14" x14ac:dyDescent="0.35">
      <c r="A204" s="231">
        <v>203</v>
      </c>
      <c r="B204" s="194"/>
      <c r="C204" s="195"/>
      <c r="D204" s="386"/>
      <c r="E204" s="386"/>
      <c r="F204" s="386"/>
      <c r="G204" s="386"/>
      <c r="H204" s="386"/>
      <c r="I204" s="386"/>
      <c r="J204" s="387"/>
      <c r="K204" s="387"/>
      <c r="L204" s="387"/>
      <c r="M204" s="197"/>
      <c r="N204" s="196"/>
    </row>
    <row r="205" spans="1:14" x14ac:dyDescent="0.35">
      <c r="A205" s="231">
        <v>204</v>
      </c>
      <c r="B205" s="194"/>
      <c r="C205" s="195"/>
      <c r="D205" s="386"/>
      <c r="E205" s="386"/>
      <c r="F205" s="386"/>
      <c r="G205" s="386"/>
      <c r="H205" s="386"/>
      <c r="I205" s="386"/>
      <c r="J205" s="387"/>
      <c r="K205" s="387"/>
      <c r="L205" s="387"/>
      <c r="M205" s="197"/>
      <c r="N205" s="196"/>
    </row>
    <row r="206" spans="1:14" x14ac:dyDescent="0.35">
      <c r="A206" s="231">
        <v>205</v>
      </c>
      <c r="B206" s="194"/>
      <c r="C206" s="195"/>
      <c r="D206" s="386"/>
      <c r="E206" s="386"/>
      <c r="F206" s="386"/>
      <c r="G206" s="386"/>
      <c r="H206" s="386"/>
      <c r="I206" s="386"/>
      <c r="J206" s="387"/>
      <c r="K206" s="387"/>
      <c r="L206" s="387"/>
      <c r="M206" s="197"/>
      <c r="N206" s="196"/>
    </row>
    <row r="207" spans="1:14" x14ac:dyDescent="0.35">
      <c r="A207" s="231">
        <v>206</v>
      </c>
      <c r="B207" s="194"/>
      <c r="C207" s="195"/>
      <c r="D207" s="386"/>
      <c r="E207" s="386"/>
      <c r="F207" s="386"/>
      <c r="G207" s="386"/>
      <c r="H207" s="386"/>
      <c r="I207" s="386"/>
      <c r="J207" s="387"/>
      <c r="K207" s="387"/>
      <c r="L207" s="387"/>
      <c r="M207" s="197"/>
      <c r="N207" s="196"/>
    </row>
    <row r="208" spans="1:14" x14ac:dyDescent="0.35">
      <c r="A208" s="231">
        <v>207</v>
      </c>
      <c r="B208" s="194"/>
      <c r="C208" s="195"/>
      <c r="D208" s="386"/>
      <c r="E208" s="386"/>
      <c r="F208" s="386"/>
      <c r="G208" s="386"/>
      <c r="H208" s="386"/>
      <c r="I208" s="386"/>
      <c r="J208" s="387"/>
      <c r="K208" s="387"/>
      <c r="L208" s="387"/>
      <c r="M208" s="197"/>
      <c r="N208" s="196"/>
    </row>
    <row r="209" spans="1:14" x14ac:dyDescent="0.35">
      <c r="A209" s="231">
        <v>208</v>
      </c>
      <c r="B209" s="194"/>
      <c r="C209" s="195"/>
      <c r="D209" s="386"/>
      <c r="E209" s="386"/>
      <c r="F209" s="386"/>
      <c r="G209" s="386"/>
      <c r="H209" s="386"/>
      <c r="I209" s="386"/>
      <c r="J209" s="387"/>
      <c r="K209" s="387"/>
      <c r="L209" s="387"/>
      <c r="M209" s="197"/>
      <c r="N209" s="196"/>
    </row>
    <row r="210" spans="1:14" x14ac:dyDescent="0.35">
      <c r="A210" s="231">
        <v>209</v>
      </c>
      <c r="B210" s="194"/>
      <c r="C210" s="195"/>
      <c r="D210" s="386"/>
      <c r="E210" s="386"/>
      <c r="F210" s="386"/>
      <c r="G210" s="386"/>
      <c r="H210" s="386"/>
      <c r="I210" s="386"/>
      <c r="J210" s="387"/>
      <c r="K210" s="387"/>
      <c r="L210" s="387"/>
      <c r="M210" s="197"/>
      <c r="N210" s="196"/>
    </row>
    <row r="211" spans="1:14" x14ac:dyDescent="0.35">
      <c r="A211" s="231">
        <v>210</v>
      </c>
      <c r="B211" s="194"/>
      <c r="C211" s="195"/>
      <c r="D211" s="386"/>
      <c r="E211" s="386"/>
      <c r="F211" s="386"/>
      <c r="G211" s="386"/>
      <c r="H211" s="386"/>
      <c r="I211" s="386"/>
      <c r="J211" s="387"/>
      <c r="K211" s="387"/>
      <c r="L211" s="387"/>
      <c r="M211" s="197"/>
      <c r="N211" s="196"/>
    </row>
    <row r="212" spans="1:14" x14ac:dyDescent="0.35">
      <c r="A212" s="231">
        <v>211</v>
      </c>
      <c r="B212" s="194"/>
      <c r="C212" s="195"/>
      <c r="D212" s="386"/>
      <c r="E212" s="386"/>
      <c r="F212" s="386"/>
      <c r="G212" s="386"/>
      <c r="H212" s="386"/>
      <c r="I212" s="386"/>
      <c r="J212" s="387"/>
      <c r="K212" s="387"/>
      <c r="L212" s="387"/>
      <c r="M212" s="197"/>
      <c r="N212" s="196"/>
    </row>
    <row r="213" spans="1:14" x14ac:dyDescent="0.35">
      <c r="A213" s="231">
        <v>212</v>
      </c>
      <c r="B213" s="194"/>
      <c r="C213" s="195"/>
      <c r="D213" s="386"/>
      <c r="E213" s="386"/>
      <c r="F213" s="386"/>
      <c r="G213" s="386"/>
      <c r="H213" s="386"/>
      <c r="I213" s="386"/>
      <c r="J213" s="387"/>
      <c r="K213" s="387"/>
      <c r="L213" s="387"/>
      <c r="M213" s="197"/>
      <c r="N213" s="196"/>
    </row>
    <row r="214" spans="1:14" x14ac:dyDescent="0.35">
      <c r="A214" s="231">
        <v>213</v>
      </c>
      <c r="B214" s="194"/>
      <c r="C214" s="195"/>
      <c r="D214" s="386"/>
      <c r="E214" s="386"/>
      <c r="F214" s="386"/>
      <c r="G214" s="386"/>
      <c r="H214" s="386"/>
      <c r="I214" s="386"/>
      <c r="J214" s="387"/>
      <c r="K214" s="387"/>
      <c r="L214" s="387"/>
      <c r="M214" s="197"/>
      <c r="N214" s="196"/>
    </row>
    <row r="215" spans="1:14" x14ac:dyDescent="0.35">
      <c r="A215" s="231">
        <v>214</v>
      </c>
      <c r="B215" s="194"/>
      <c r="C215" s="195"/>
      <c r="D215" s="386"/>
      <c r="E215" s="386"/>
      <c r="F215" s="386"/>
      <c r="G215" s="386"/>
      <c r="H215" s="386"/>
      <c r="I215" s="386"/>
      <c r="J215" s="387"/>
      <c r="K215" s="387"/>
      <c r="L215" s="387"/>
      <c r="M215" s="197"/>
      <c r="N215" s="196"/>
    </row>
    <row r="216" spans="1:14" x14ac:dyDescent="0.35">
      <c r="A216" s="231">
        <v>215</v>
      </c>
      <c r="B216" s="194"/>
      <c r="C216" s="195"/>
      <c r="D216" s="386"/>
      <c r="E216" s="386"/>
      <c r="F216" s="386"/>
      <c r="G216" s="386"/>
      <c r="H216" s="386"/>
      <c r="I216" s="386"/>
      <c r="J216" s="387"/>
      <c r="K216" s="387"/>
      <c r="L216" s="387"/>
      <c r="M216" s="197"/>
      <c r="N216" s="196"/>
    </row>
    <row r="217" spans="1:14" x14ac:dyDescent="0.35">
      <c r="A217" s="231">
        <v>216</v>
      </c>
      <c r="B217" s="194"/>
      <c r="C217" s="195"/>
      <c r="D217" s="386"/>
      <c r="E217" s="386"/>
      <c r="F217" s="386"/>
      <c r="G217" s="386"/>
      <c r="H217" s="386"/>
      <c r="I217" s="386"/>
      <c r="J217" s="387"/>
      <c r="K217" s="387"/>
      <c r="L217" s="387"/>
      <c r="M217" s="197"/>
      <c r="N217" s="196"/>
    </row>
    <row r="218" spans="1:14" x14ac:dyDescent="0.35">
      <c r="A218" s="231">
        <v>217</v>
      </c>
      <c r="B218" s="194"/>
      <c r="C218" s="195"/>
      <c r="D218" s="386"/>
      <c r="E218" s="386"/>
      <c r="F218" s="386"/>
      <c r="G218" s="386"/>
      <c r="H218" s="386"/>
      <c r="I218" s="386"/>
      <c r="J218" s="387"/>
      <c r="K218" s="387"/>
      <c r="L218" s="387"/>
      <c r="M218" s="197"/>
      <c r="N218" s="196"/>
    </row>
    <row r="219" spans="1:14" x14ac:dyDescent="0.35">
      <c r="A219" s="231">
        <v>218</v>
      </c>
      <c r="B219" s="194"/>
      <c r="C219" s="195"/>
      <c r="D219" s="386"/>
      <c r="E219" s="386"/>
      <c r="F219" s="386"/>
      <c r="G219" s="386"/>
      <c r="H219" s="386"/>
      <c r="I219" s="386"/>
      <c r="J219" s="387"/>
      <c r="K219" s="387"/>
      <c r="L219" s="387"/>
      <c r="M219" s="197"/>
      <c r="N219" s="196"/>
    </row>
    <row r="220" spans="1:14" x14ac:dyDescent="0.35">
      <c r="A220" s="231">
        <v>219</v>
      </c>
      <c r="B220" s="194"/>
      <c r="C220" s="195"/>
      <c r="D220" s="386"/>
      <c r="E220" s="386"/>
      <c r="F220" s="386"/>
      <c r="G220" s="386"/>
      <c r="H220" s="386"/>
      <c r="I220" s="386"/>
      <c r="J220" s="387"/>
      <c r="K220" s="387"/>
      <c r="L220" s="387"/>
      <c r="M220" s="197"/>
      <c r="N220" s="196"/>
    </row>
    <row r="221" spans="1:14" x14ac:dyDescent="0.35">
      <c r="A221" s="231">
        <v>220</v>
      </c>
      <c r="B221" s="194"/>
      <c r="C221" s="195"/>
      <c r="D221" s="386"/>
      <c r="E221" s="386"/>
      <c r="F221" s="386"/>
      <c r="G221" s="386"/>
      <c r="H221" s="386"/>
      <c r="I221" s="386"/>
      <c r="J221" s="387"/>
      <c r="K221" s="387"/>
      <c r="L221" s="387"/>
      <c r="M221" s="197"/>
      <c r="N221" s="196"/>
    </row>
    <row r="222" spans="1:14" x14ac:dyDescent="0.35">
      <c r="A222" s="231">
        <v>221</v>
      </c>
      <c r="B222" s="194"/>
      <c r="C222" s="195"/>
      <c r="D222" s="386"/>
      <c r="E222" s="386"/>
      <c r="F222" s="386"/>
      <c r="G222" s="386"/>
      <c r="H222" s="386"/>
      <c r="I222" s="386"/>
      <c r="J222" s="387"/>
      <c r="K222" s="387"/>
      <c r="L222" s="387"/>
      <c r="M222" s="197"/>
      <c r="N222" s="196"/>
    </row>
    <row r="223" spans="1:14" x14ac:dyDescent="0.35">
      <c r="A223" s="231">
        <v>222</v>
      </c>
      <c r="B223" s="194"/>
      <c r="C223" s="195"/>
      <c r="D223" s="386"/>
      <c r="E223" s="386"/>
      <c r="F223" s="386"/>
      <c r="G223" s="386"/>
      <c r="H223" s="386"/>
      <c r="I223" s="386"/>
      <c r="J223" s="387"/>
      <c r="K223" s="387"/>
      <c r="L223" s="387"/>
      <c r="M223" s="197"/>
      <c r="N223" s="196"/>
    </row>
    <row r="224" spans="1:14" x14ac:dyDescent="0.35">
      <c r="A224" s="231">
        <v>223</v>
      </c>
      <c r="B224" s="194"/>
      <c r="C224" s="195"/>
      <c r="D224" s="386"/>
      <c r="E224" s="386"/>
      <c r="F224" s="386"/>
      <c r="G224" s="386"/>
      <c r="H224" s="386"/>
      <c r="I224" s="386"/>
      <c r="J224" s="387"/>
      <c r="K224" s="387"/>
      <c r="L224" s="387"/>
      <c r="M224" s="197"/>
      <c r="N224" s="196"/>
    </row>
    <row r="225" spans="1:14" x14ac:dyDescent="0.35">
      <c r="A225" s="231">
        <v>224</v>
      </c>
      <c r="B225" s="194"/>
      <c r="C225" s="195"/>
      <c r="D225" s="386"/>
      <c r="E225" s="386"/>
      <c r="F225" s="386"/>
      <c r="G225" s="386"/>
      <c r="H225" s="386"/>
      <c r="I225" s="386"/>
      <c r="J225" s="387"/>
      <c r="K225" s="387"/>
      <c r="L225" s="387"/>
      <c r="M225" s="197"/>
      <c r="N225" s="196"/>
    </row>
    <row r="226" spans="1:14" x14ac:dyDescent="0.35">
      <c r="A226" s="231">
        <v>225</v>
      </c>
      <c r="B226" s="194"/>
      <c r="C226" s="195"/>
      <c r="D226" s="386"/>
      <c r="E226" s="386"/>
      <c r="F226" s="386"/>
      <c r="G226" s="386"/>
      <c r="H226" s="386"/>
      <c r="I226" s="386"/>
      <c r="J226" s="387"/>
      <c r="K226" s="387"/>
      <c r="L226" s="387"/>
      <c r="M226" s="197"/>
      <c r="N226" s="196"/>
    </row>
    <row r="227" spans="1:14" x14ac:dyDescent="0.35">
      <c r="A227" s="231">
        <v>226</v>
      </c>
      <c r="B227" s="194"/>
      <c r="C227" s="195"/>
      <c r="D227" s="386"/>
      <c r="E227" s="386"/>
      <c r="F227" s="386"/>
      <c r="G227" s="386"/>
      <c r="H227" s="386"/>
      <c r="I227" s="386"/>
      <c r="J227" s="387"/>
      <c r="K227" s="387"/>
      <c r="L227" s="387"/>
      <c r="M227" s="197"/>
      <c r="N227" s="196"/>
    </row>
    <row r="228" spans="1:14" x14ac:dyDescent="0.35">
      <c r="A228" s="231">
        <v>227</v>
      </c>
      <c r="B228" s="194"/>
      <c r="C228" s="195"/>
      <c r="D228" s="386"/>
      <c r="E228" s="386"/>
      <c r="F228" s="386"/>
      <c r="G228" s="386"/>
      <c r="H228" s="386"/>
      <c r="I228" s="386"/>
      <c r="J228" s="387"/>
      <c r="K228" s="387"/>
      <c r="L228" s="387"/>
      <c r="M228" s="197"/>
      <c r="N228" s="196"/>
    </row>
    <row r="229" spans="1:14" x14ac:dyDescent="0.35">
      <c r="A229" s="231">
        <v>228</v>
      </c>
      <c r="B229" s="194"/>
      <c r="C229" s="195"/>
      <c r="D229" s="386"/>
      <c r="E229" s="386"/>
      <c r="F229" s="386"/>
      <c r="G229" s="386"/>
      <c r="H229" s="386"/>
      <c r="I229" s="386"/>
      <c r="J229" s="387"/>
      <c r="K229" s="387"/>
      <c r="L229" s="387"/>
      <c r="M229" s="197"/>
      <c r="N229" s="196"/>
    </row>
    <row r="230" spans="1:14" x14ac:dyDescent="0.35">
      <c r="A230" s="231">
        <v>229</v>
      </c>
      <c r="B230" s="194"/>
      <c r="C230" s="195"/>
      <c r="D230" s="386"/>
      <c r="E230" s="386"/>
      <c r="F230" s="386"/>
      <c r="G230" s="386"/>
      <c r="H230" s="386"/>
      <c r="I230" s="386"/>
      <c r="J230" s="387"/>
      <c r="K230" s="387"/>
      <c r="L230" s="387"/>
      <c r="M230" s="197"/>
      <c r="N230" s="196"/>
    </row>
    <row r="231" spans="1:14" x14ac:dyDescent="0.35">
      <c r="A231" s="231">
        <v>230</v>
      </c>
      <c r="B231" s="194"/>
      <c r="C231" s="195"/>
      <c r="D231" s="386"/>
      <c r="E231" s="386"/>
      <c r="F231" s="386"/>
      <c r="G231" s="386"/>
      <c r="H231" s="386"/>
      <c r="I231" s="386"/>
      <c r="J231" s="387"/>
      <c r="K231" s="387"/>
      <c r="L231" s="387"/>
      <c r="M231" s="197"/>
      <c r="N231" s="196"/>
    </row>
    <row r="232" spans="1:14" x14ac:dyDescent="0.35">
      <c r="A232" s="231">
        <v>231</v>
      </c>
      <c r="B232" s="194"/>
      <c r="C232" s="195"/>
      <c r="D232" s="386"/>
      <c r="E232" s="386"/>
      <c r="F232" s="386"/>
      <c r="G232" s="386"/>
      <c r="H232" s="386"/>
      <c r="I232" s="386"/>
      <c r="J232" s="387"/>
      <c r="K232" s="387"/>
      <c r="L232" s="387"/>
      <c r="M232" s="197"/>
      <c r="N232" s="196"/>
    </row>
    <row r="233" spans="1:14" x14ac:dyDescent="0.35">
      <c r="A233" s="231">
        <v>232</v>
      </c>
      <c r="B233" s="194"/>
      <c r="C233" s="195"/>
      <c r="D233" s="386"/>
      <c r="E233" s="386"/>
      <c r="F233" s="386"/>
      <c r="G233" s="386"/>
      <c r="H233" s="386"/>
      <c r="I233" s="386"/>
      <c r="J233" s="387"/>
      <c r="K233" s="387"/>
      <c r="L233" s="387"/>
      <c r="M233" s="197"/>
      <c r="N233" s="196"/>
    </row>
    <row r="234" spans="1:14" x14ac:dyDescent="0.35">
      <c r="A234" s="231">
        <v>233</v>
      </c>
      <c r="B234" s="194"/>
      <c r="C234" s="195"/>
      <c r="D234" s="386"/>
      <c r="E234" s="386"/>
      <c r="F234" s="386"/>
      <c r="G234" s="386"/>
      <c r="H234" s="386"/>
      <c r="I234" s="386"/>
      <c r="J234" s="387"/>
      <c r="K234" s="387"/>
      <c r="L234" s="387"/>
      <c r="M234" s="197"/>
      <c r="N234" s="196"/>
    </row>
    <row r="235" spans="1:14" x14ac:dyDescent="0.35">
      <c r="A235" s="231">
        <v>234</v>
      </c>
      <c r="B235" s="194"/>
      <c r="C235" s="195"/>
      <c r="D235" s="386"/>
      <c r="E235" s="386"/>
      <c r="F235" s="386"/>
      <c r="G235" s="386"/>
      <c r="H235" s="386"/>
      <c r="I235" s="386"/>
      <c r="J235" s="387"/>
      <c r="K235" s="387"/>
      <c r="L235" s="387"/>
      <c r="M235" s="197"/>
      <c r="N235" s="196"/>
    </row>
    <row r="236" spans="1:14" x14ac:dyDescent="0.35">
      <c r="A236" s="231">
        <v>235</v>
      </c>
      <c r="B236" s="194"/>
      <c r="C236" s="195"/>
      <c r="D236" s="386"/>
      <c r="E236" s="386"/>
      <c r="F236" s="386"/>
      <c r="G236" s="386"/>
      <c r="H236" s="386"/>
      <c r="I236" s="386"/>
      <c r="J236" s="387"/>
      <c r="K236" s="387"/>
      <c r="L236" s="387"/>
      <c r="M236" s="197"/>
      <c r="N236" s="196"/>
    </row>
    <row r="237" spans="1:14" x14ac:dyDescent="0.35">
      <c r="A237" s="231">
        <v>236</v>
      </c>
      <c r="B237" s="194"/>
      <c r="C237" s="195"/>
      <c r="D237" s="386"/>
      <c r="E237" s="386"/>
      <c r="F237" s="386"/>
      <c r="G237" s="386"/>
      <c r="H237" s="386"/>
      <c r="I237" s="386"/>
      <c r="J237" s="387"/>
      <c r="K237" s="387"/>
      <c r="L237" s="387"/>
      <c r="M237" s="197"/>
      <c r="N237" s="196"/>
    </row>
    <row r="238" spans="1:14" x14ac:dyDescent="0.35">
      <c r="A238" s="231">
        <v>237</v>
      </c>
      <c r="B238" s="194"/>
      <c r="C238" s="195"/>
      <c r="D238" s="386"/>
      <c r="E238" s="386"/>
      <c r="F238" s="386"/>
      <c r="G238" s="386"/>
      <c r="H238" s="386"/>
      <c r="I238" s="386"/>
      <c r="J238" s="387"/>
      <c r="K238" s="387"/>
      <c r="L238" s="387"/>
      <c r="M238" s="197"/>
      <c r="N238" s="196"/>
    </row>
    <row r="239" spans="1:14" x14ac:dyDescent="0.35">
      <c r="A239" s="231">
        <v>238</v>
      </c>
      <c r="B239" s="194"/>
      <c r="C239" s="195"/>
      <c r="D239" s="386"/>
      <c r="E239" s="386"/>
      <c r="F239" s="386"/>
      <c r="G239" s="386"/>
      <c r="H239" s="386"/>
      <c r="I239" s="386"/>
      <c r="J239" s="387"/>
      <c r="K239" s="387"/>
      <c r="L239" s="387"/>
      <c r="M239" s="197"/>
      <c r="N239" s="196"/>
    </row>
    <row r="240" spans="1:14" x14ac:dyDescent="0.35">
      <c r="A240" s="231">
        <v>239</v>
      </c>
      <c r="B240" s="194"/>
      <c r="C240" s="195"/>
      <c r="D240" s="386"/>
      <c r="E240" s="386"/>
      <c r="F240" s="386"/>
      <c r="G240" s="386"/>
      <c r="H240" s="386"/>
      <c r="I240" s="386"/>
      <c r="J240" s="387"/>
      <c r="K240" s="387"/>
      <c r="L240" s="387"/>
      <c r="M240" s="197"/>
      <c r="N240" s="196"/>
    </row>
    <row r="241" spans="1:14" x14ac:dyDescent="0.35">
      <c r="A241" s="231">
        <v>240</v>
      </c>
      <c r="B241" s="194"/>
      <c r="C241" s="195"/>
      <c r="D241" s="386"/>
      <c r="E241" s="386"/>
      <c r="F241" s="386"/>
      <c r="G241" s="386"/>
      <c r="H241" s="386"/>
      <c r="I241" s="386"/>
      <c r="J241" s="387"/>
      <c r="K241" s="387"/>
      <c r="L241" s="387"/>
      <c r="M241" s="197"/>
      <c r="N241" s="196"/>
    </row>
    <row r="242" spans="1:14" x14ac:dyDescent="0.35">
      <c r="A242" s="231">
        <v>241</v>
      </c>
      <c r="B242" s="194"/>
      <c r="C242" s="195"/>
      <c r="D242" s="386"/>
      <c r="E242" s="386"/>
      <c r="F242" s="386"/>
      <c r="G242" s="386"/>
      <c r="H242" s="386"/>
      <c r="I242" s="386"/>
      <c r="J242" s="387"/>
      <c r="K242" s="387"/>
      <c r="L242" s="387"/>
      <c r="M242" s="197"/>
      <c r="N242" s="196"/>
    </row>
    <row r="243" spans="1:14" x14ac:dyDescent="0.35">
      <c r="A243" s="231">
        <v>242</v>
      </c>
      <c r="B243" s="194"/>
      <c r="C243" s="195"/>
      <c r="D243" s="386"/>
      <c r="E243" s="386"/>
      <c r="F243" s="386"/>
      <c r="G243" s="386"/>
      <c r="H243" s="386"/>
      <c r="I243" s="386"/>
      <c r="J243" s="387"/>
      <c r="K243" s="387"/>
      <c r="L243" s="387"/>
      <c r="M243" s="197"/>
      <c r="N243" s="196"/>
    </row>
    <row r="244" spans="1:14" x14ac:dyDescent="0.35">
      <c r="A244" s="231">
        <v>243</v>
      </c>
      <c r="B244" s="194"/>
      <c r="C244" s="195"/>
      <c r="D244" s="386"/>
      <c r="E244" s="386"/>
      <c r="F244" s="386"/>
      <c r="G244" s="386"/>
      <c r="H244" s="386"/>
      <c r="I244" s="386"/>
      <c r="J244" s="387"/>
      <c r="K244" s="387"/>
      <c r="L244" s="387"/>
      <c r="M244" s="197"/>
      <c r="N244" s="196"/>
    </row>
    <row r="245" spans="1:14" x14ac:dyDescent="0.35">
      <c r="A245" s="231">
        <v>244</v>
      </c>
      <c r="B245" s="194"/>
      <c r="C245" s="195"/>
      <c r="D245" s="386"/>
      <c r="E245" s="386"/>
      <c r="F245" s="386"/>
      <c r="G245" s="386"/>
      <c r="H245" s="386"/>
      <c r="I245" s="386"/>
      <c r="J245" s="387"/>
      <c r="K245" s="387"/>
      <c r="L245" s="387"/>
      <c r="M245" s="197"/>
      <c r="N245" s="196"/>
    </row>
    <row r="246" spans="1:14" x14ac:dyDescent="0.35">
      <c r="A246" s="231">
        <v>245</v>
      </c>
      <c r="B246" s="194"/>
      <c r="C246" s="195"/>
      <c r="D246" s="386"/>
      <c r="E246" s="386"/>
      <c r="F246" s="386"/>
      <c r="G246" s="386"/>
      <c r="H246" s="386"/>
      <c r="I246" s="386"/>
      <c r="J246" s="387"/>
      <c r="K246" s="387"/>
      <c r="L246" s="387"/>
      <c r="M246" s="197"/>
      <c r="N246" s="196"/>
    </row>
    <row r="247" spans="1:14" x14ac:dyDescent="0.35">
      <c r="A247" s="231">
        <v>246</v>
      </c>
      <c r="B247" s="194"/>
      <c r="C247" s="195"/>
      <c r="D247" s="386"/>
      <c r="E247" s="386"/>
      <c r="F247" s="386"/>
      <c r="G247" s="386"/>
      <c r="H247" s="386"/>
      <c r="I247" s="386"/>
      <c r="J247" s="387"/>
      <c r="K247" s="387"/>
      <c r="L247" s="387"/>
      <c r="M247" s="197"/>
      <c r="N247" s="196"/>
    </row>
    <row r="248" spans="1:14" x14ac:dyDescent="0.35">
      <c r="A248" s="231">
        <v>247</v>
      </c>
      <c r="B248" s="194"/>
      <c r="C248" s="195"/>
      <c r="D248" s="386"/>
      <c r="E248" s="386"/>
      <c r="F248" s="386"/>
      <c r="G248" s="386"/>
      <c r="H248" s="386"/>
      <c r="I248" s="386"/>
      <c r="J248" s="387"/>
      <c r="K248" s="387"/>
      <c r="L248" s="387"/>
      <c r="M248" s="197"/>
      <c r="N248" s="196"/>
    </row>
    <row r="249" spans="1:14" x14ac:dyDescent="0.35">
      <c r="A249" s="231">
        <v>248</v>
      </c>
      <c r="B249" s="194"/>
      <c r="C249" s="195"/>
      <c r="D249" s="386"/>
      <c r="E249" s="386"/>
      <c r="F249" s="386"/>
      <c r="G249" s="386"/>
      <c r="H249" s="386"/>
      <c r="I249" s="386"/>
      <c r="J249" s="387"/>
      <c r="K249" s="387"/>
      <c r="L249" s="387"/>
      <c r="M249" s="197"/>
      <c r="N249" s="196"/>
    </row>
    <row r="250" spans="1:14" x14ac:dyDescent="0.35">
      <c r="A250" s="231">
        <v>249</v>
      </c>
      <c r="B250" s="194"/>
      <c r="C250" s="195"/>
      <c r="D250" s="386"/>
      <c r="E250" s="386"/>
      <c r="F250" s="386"/>
      <c r="G250" s="386"/>
      <c r="H250" s="386"/>
      <c r="I250" s="386"/>
      <c r="J250" s="387"/>
      <c r="K250" s="387"/>
      <c r="L250" s="387"/>
      <c r="M250" s="197"/>
      <c r="N250" s="196"/>
    </row>
    <row r="251" spans="1:14" x14ac:dyDescent="0.35">
      <c r="A251" s="231">
        <v>250</v>
      </c>
      <c r="B251" s="194"/>
      <c r="C251" s="195"/>
      <c r="D251" s="386"/>
      <c r="E251" s="386"/>
      <c r="F251" s="386"/>
      <c r="G251" s="386"/>
      <c r="H251" s="386"/>
      <c r="I251" s="386"/>
      <c r="J251" s="387"/>
      <c r="K251" s="387"/>
      <c r="L251" s="387"/>
      <c r="M251" s="197"/>
      <c r="N251" s="196"/>
    </row>
    <row r="252" spans="1:14" x14ac:dyDescent="0.35">
      <c r="A252" s="231">
        <v>251</v>
      </c>
      <c r="B252" s="194"/>
      <c r="C252" s="195"/>
      <c r="D252" s="386"/>
      <c r="E252" s="386"/>
      <c r="F252" s="386"/>
      <c r="G252" s="386"/>
      <c r="H252" s="386"/>
      <c r="I252" s="386"/>
      <c r="J252" s="387"/>
      <c r="K252" s="387"/>
      <c r="L252" s="387"/>
      <c r="M252" s="197"/>
      <c r="N252" s="196"/>
    </row>
    <row r="253" spans="1:14" x14ac:dyDescent="0.35">
      <c r="A253" s="231">
        <v>252</v>
      </c>
      <c r="B253" s="194"/>
      <c r="C253" s="195"/>
      <c r="D253" s="386"/>
      <c r="E253" s="386"/>
      <c r="F253" s="386"/>
      <c r="G253" s="386"/>
      <c r="H253" s="386"/>
      <c r="I253" s="386"/>
      <c r="J253" s="387"/>
      <c r="K253" s="387"/>
      <c r="L253" s="387"/>
      <c r="M253" s="197"/>
      <c r="N253" s="196"/>
    </row>
    <row r="254" spans="1:14" x14ac:dyDescent="0.35">
      <c r="A254" s="231">
        <v>253</v>
      </c>
      <c r="B254" s="194"/>
      <c r="C254" s="195"/>
      <c r="D254" s="386"/>
      <c r="E254" s="386"/>
      <c r="F254" s="386"/>
      <c r="G254" s="386"/>
      <c r="H254" s="386"/>
      <c r="I254" s="386"/>
      <c r="J254" s="387"/>
      <c r="K254" s="387"/>
      <c r="L254" s="387"/>
      <c r="M254" s="197"/>
      <c r="N254" s="196"/>
    </row>
    <row r="255" spans="1:14" x14ac:dyDescent="0.35">
      <c r="A255" s="231">
        <v>254</v>
      </c>
      <c r="B255" s="194"/>
      <c r="C255" s="195"/>
      <c r="D255" s="386"/>
      <c r="E255" s="386"/>
      <c r="F255" s="386"/>
      <c r="G255" s="386"/>
      <c r="H255" s="386"/>
      <c r="I255" s="386"/>
      <c r="J255" s="387"/>
      <c r="K255" s="387"/>
      <c r="L255" s="387"/>
      <c r="M255" s="197"/>
      <c r="N255" s="196"/>
    </row>
    <row r="256" spans="1:14" x14ac:dyDescent="0.35">
      <c r="A256" s="231">
        <v>255</v>
      </c>
      <c r="B256" s="194"/>
      <c r="C256" s="195"/>
      <c r="D256" s="386"/>
      <c r="E256" s="386"/>
      <c r="F256" s="386"/>
      <c r="G256" s="386"/>
      <c r="H256" s="386"/>
      <c r="I256" s="386"/>
      <c r="J256" s="387"/>
      <c r="K256" s="387"/>
      <c r="L256" s="387"/>
      <c r="M256" s="197"/>
      <c r="N256" s="196"/>
    </row>
    <row r="257" spans="1:14" x14ac:dyDescent="0.35">
      <c r="A257" s="231">
        <v>256</v>
      </c>
      <c r="B257" s="194"/>
      <c r="C257" s="195"/>
      <c r="D257" s="386"/>
      <c r="E257" s="386"/>
      <c r="F257" s="386"/>
      <c r="G257" s="386"/>
      <c r="H257" s="386"/>
      <c r="I257" s="386"/>
      <c r="J257" s="387"/>
      <c r="K257" s="387"/>
      <c r="L257" s="387"/>
      <c r="M257" s="197"/>
      <c r="N257" s="196"/>
    </row>
    <row r="258" spans="1:14" x14ac:dyDescent="0.35">
      <c r="A258" s="231">
        <v>257</v>
      </c>
      <c r="B258" s="194"/>
      <c r="C258" s="195"/>
      <c r="D258" s="386"/>
      <c r="E258" s="386"/>
      <c r="F258" s="386"/>
      <c r="G258" s="386"/>
      <c r="H258" s="386"/>
      <c r="I258" s="386"/>
      <c r="J258" s="387"/>
      <c r="K258" s="387"/>
      <c r="L258" s="387"/>
      <c r="M258" s="197"/>
      <c r="N258" s="196"/>
    </row>
    <row r="259" spans="1:14" x14ac:dyDescent="0.35">
      <c r="A259" s="231">
        <v>258</v>
      </c>
      <c r="B259" s="194"/>
      <c r="C259" s="195"/>
      <c r="D259" s="386"/>
      <c r="E259" s="386"/>
      <c r="F259" s="386"/>
      <c r="G259" s="386"/>
      <c r="H259" s="386"/>
      <c r="I259" s="386"/>
      <c r="J259" s="387"/>
      <c r="K259" s="387"/>
      <c r="L259" s="387"/>
      <c r="M259" s="197"/>
      <c r="N259" s="196"/>
    </row>
    <row r="260" spans="1:14" x14ac:dyDescent="0.35">
      <c r="A260" s="231">
        <v>259</v>
      </c>
      <c r="B260" s="194"/>
      <c r="C260" s="195"/>
      <c r="D260" s="386"/>
      <c r="E260" s="386"/>
      <c r="F260" s="386"/>
      <c r="G260" s="386"/>
      <c r="H260" s="386"/>
      <c r="I260" s="386"/>
      <c r="J260" s="387"/>
      <c r="K260" s="387"/>
      <c r="L260" s="387"/>
      <c r="M260" s="197"/>
      <c r="N260" s="196"/>
    </row>
    <row r="261" spans="1:14" x14ac:dyDescent="0.35">
      <c r="A261" s="231">
        <v>260</v>
      </c>
      <c r="B261" s="194"/>
      <c r="C261" s="195"/>
      <c r="D261" s="386"/>
      <c r="E261" s="386"/>
      <c r="F261" s="386"/>
      <c r="G261" s="386"/>
      <c r="H261" s="386"/>
      <c r="I261" s="386"/>
      <c r="J261" s="387"/>
      <c r="K261" s="387"/>
      <c r="L261" s="387"/>
      <c r="M261" s="197"/>
      <c r="N261" s="196"/>
    </row>
    <row r="262" spans="1:14" x14ac:dyDescent="0.35">
      <c r="A262" s="231">
        <v>261</v>
      </c>
      <c r="B262" s="194"/>
      <c r="C262" s="195"/>
      <c r="D262" s="386"/>
      <c r="E262" s="386"/>
      <c r="F262" s="386"/>
      <c r="G262" s="386"/>
      <c r="H262" s="386"/>
      <c r="I262" s="386"/>
      <c r="J262" s="387"/>
      <c r="K262" s="387"/>
      <c r="L262" s="387"/>
      <c r="M262" s="197"/>
      <c r="N262" s="196"/>
    </row>
    <row r="263" spans="1:14" x14ac:dyDescent="0.35">
      <c r="A263" s="231">
        <v>262</v>
      </c>
      <c r="B263" s="194"/>
      <c r="C263" s="195"/>
      <c r="D263" s="386"/>
      <c r="E263" s="386"/>
      <c r="F263" s="386"/>
      <c r="G263" s="386"/>
      <c r="H263" s="386"/>
      <c r="I263" s="386"/>
      <c r="J263" s="387"/>
      <c r="K263" s="387"/>
      <c r="L263" s="387"/>
      <c r="M263" s="197"/>
      <c r="N263" s="196"/>
    </row>
    <row r="264" spans="1:14" x14ac:dyDescent="0.35">
      <c r="A264" s="231">
        <v>263</v>
      </c>
      <c r="B264" s="194"/>
      <c r="C264" s="195"/>
      <c r="D264" s="386"/>
      <c r="E264" s="386"/>
      <c r="F264" s="386"/>
      <c r="G264" s="386"/>
      <c r="H264" s="386"/>
      <c r="I264" s="386"/>
      <c r="J264" s="387"/>
      <c r="K264" s="387"/>
      <c r="L264" s="387"/>
      <c r="M264" s="197"/>
      <c r="N264" s="196"/>
    </row>
    <row r="265" spans="1:14" x14ac:dyDescent="0.35">
      <c r="A265" s="231">
        <v>264</v>
      </c>
      <c r="B265" s="194"/>
      <c r="C265" s="195"/>
      <c r="D265" s="386"/>
      <c r="E265" s="386"/>
      <c r="F265" s="386"/>
      <c r="G265" s="386"/>
      <c r="H265" s="386"/>
      <c r="I265" s="386"/>
      <c r="J265" s="387"/>
      <c r="K265" s="387"/>
      <c r="L265" s="387"/>
      <c r="M265" s="197"/>
      <c r="N265" s="196"/>
    </row>
    <row r="266" spans="1:14" x14ac:dyDescent="0.35">
      <c r="A266" s="231">
        <v>265</v>
      </c>
      <c r="B266" s="194"/>
      <c r="C266" s="195"/>
      <c r="D266" s="386"/>
      <c r="E266" s="386"/>
      <c r="F266" s="386"/>
      <c r="G266" s="386"/>
      <c r="H266" s="386"/>
      <c r="I266" s="386"/>
      <c r="J266" s="387"/>
      <c r="K266" s="387"/>
      <c r="L266" s="387"/>
      <c r="M266" s="197"/>
      <c r="N266" s="196"/>
    </row>
    <row r="267" spans="1:14" x14ac:dyDescent="0.35">
      <c r="A267" s="231">
        <v>266</v>
      </c>
      <c r="B267" s="194"/>
      <c r="C267" s="195"/>
      <c r="D267" s="386"/>
      <c r="E267" s="386"/>
      <c r="F267" s="386"/>
      <c r="G267" s="386"/>
      <c r="H267" s="386"/>
      <c r="I267" s="386"/>
      <c r="J267" s="387"/>
      <c r="K267" s="387"/>
      <c r="L267" s="387"/>
      <c r="M267" s="197"/>
      <c r="N267" s="196"/>
    </row>
    <row r="268" spans="1:14" x14ac:dyDescent="0.35">
      <c r="A268" s="231">
        <v>267</v>
      </c>
      <c r="B268" s="194"/>
      <c r="C268" s="195"/>
      <c r="D268" s="386"/>
      <c r="E268" s="386"/>
      <c r="F268" s="386"/>
      <c r="G268" s="386"/>
      <c r="H268" s="386"/>
      <c r="I268" s="386"/>
      <c r="J268" s="387"/>
      <c r="K268" s="387"/>
      <c r="L268" s="387"/>
      <c r="M268" s="197"/>
      <c r="N268" s="196"/>
    </row>
    <row r="269" spans="1:14" x14ac:dyDescent="0.35">
      <c r="A269" s="231">
        <v>268</v>
      </c>
      <c r="B269" s="194"/>
      <c r="C269" s="195"/>
      <c r="D269" s="386"/>
      <c r="E269" s="386"/>
      <c r="F269" s="386"/>
      <c r="G269" s="386"/>
      <c r="H269" s="386"/>
      <c r="I269" s="386"/>
      <c r="J269" s="387"/>
      <c r="K269" s="387"/>
      <c r="L269" s="387"/>
      <c r="M269" s="197"/>
      <c r="N269" s="196"/>
    </row>
    <row r="270" spans="1:14" x14ac:dyDescent="0.35">
      <c r="A270" s="231">
        <v>269</v>
      </c>
      <c r="B270" s="194"/>
      <c r="C270" s="195"/>
      <c r="D270" s="386"/>
      <c r="E270" s="386"/>
      <c r="F270" s="386"/>
      <c r="G270" s="386"/>
      <c r="H270" s="386"/>
      <c r="I270" s="386"/>
      <c r="J270" s="387"/>
      <c r="K270" s="387"/>
      <c r="L270" s="387"/>
      <c r="M270" s="197"/>
      <c r="N270" s="196"/>
    </row>
    <row r="271" spans="1:14" x14ac:dyDescent="0.35">
      <c r="A271" s="231">
        <v>270</v>
      </c>
      <c r="B271" s="194"/>
      <c r="C271" s="195"/>
      <c r="D271" s="386"/>
      <c r="E271" s="386"/>
      <c r="F271" s="386"/>
      <c r="G271" s="386"/>
      <c r="H271" s="386"/>
      <c r="I271" s="386"/>
      <c r="J271" s="387"/>
      <c r="K271" s="387"/>
      <c r="L271" s="387"/>
      <c r="M271" s="197"/>
      <c r="N271" s="196"/>
    </row>
    <row r="272" spans="1:14" x14ac:dyDescent="0.35">
      <c r="A272" s="231">
        <v>271</v>
      </c>
      <c r="B272" s="194"/>
      <c r="C272" s="195"/>
      <c r="D272" s="386"/>
      <c r="E272" s="386"/>
      <c r="F272" s="386"/>
      <c r="G272" s="386"/>
      <c r="H272" s="386"/>
      <c r="I272" s="386"/>
      <c r="J272" s="387"/>
      <c r="K272" s="387"/>
      <c r="L272" s="387"/>
      <c r="M272" s="197"/>
      <c r="N272" s="196"/>
    </row>
    <row r="273" spans="1:14" x14ac:dyDescent="0.35">
      <c r="A273" s="231">
        <v>272</v>
      </c>
      <c r="B273" s="194"/>
      <c r="C273" s="195"/>
      <c r="D273" s="386"/>
      <c r="E273" s="386"/>
      <c r="F273" s="386"/>
      <c r="G273" s="386"/>
      <c r="H273" s="386"/>
      <c r="I273" s="386"/>
      <c r="J273" s="387"/>
      <c r="K273" s="387"/>
      <c r="L273" s="387"/>
      <c r="M273" s="197"/>
      <c r="N273" s="196"/>
    </row>
    <row r="274" spans="1:14" x14ac:dyDescent="0.35">
      <c r="A274" s="231">
        <v>273</v>
      </c>
      <c r="B274" s="194"/>
      <c r="C274" s="195"/>
      <c r="D274" s="386"/>
      <c r="E274" s="386"/>
      <c r="F274" s="386"/>
      <c r="G274" s="386"/>
      <c r="H274" s="386"/>
      <c r="I274" s="386"/>
      <c r="J274" s="387"/>
      <c r="K274" s="387"/>
      <c r="L274" s="387"/>
      <c r="M274" s="197"/>
      <c r="N274" s="196"/>
    </row>
    <row r="275" spans="1:14" x14ac:dyDescent="0.35">
      <c r="A275" s="231">
        <v>274</v>
      </c>
      <c r="B275" s="194"/>
      <c r="C275" s="195"/>
      <c r="D275" s="386"/>
      <c r="E275" s="386"/>
      <c r="F275" s="386"/>
      <c r="G275" s="386"/>
      <c r="H275" s="386"/>
      <c r="I275" s="386"/>
      <c r="J275" s="387"/>
      <c r="K275" s="387"/>
      <c r="L275" s="387"/>
      <c r="M275" s="197"/>
      <c r="N275" s="196"/>
    </row>
    <row r="276" spans="1:14" x14ac:dyDescent="0.35">
      <c r="A276" s="231">
        <v>275</v>
      </c>
      <c r="B276" s="194"/>
      <c r="C276" s="195"/>
      <c r="D276" s="386"/>
      <c r="E276" s="386"/>
      <c r="F276" s="386"/>
      <c r="G276" s="386"/>
      <c r="H276" s="386"/>
      <c r="I276" s="386"/>
      <c r="J276" s="387"/>
      <c r="K276" s="387"/>
      <c r="L276" s="387"/>
      <c r="M276" s="197"/>
      <c r="N276" s="196"/>
    </row>
    <row r="277" spans="1:14" x14ac:dyDescent="0.35">
      <c r="A277" s="231">
        <v>276</v>
      </c>
      <c r="B277" s="194"/>
      <c r="C277" s="195"/>
      <c r="D277" s="386"/>
      <c r="E277" s="386"/>
      <c r="F277" s="386"/>
      <c r="G277" s="386"/>
      <c r="H277" s="386"/>
      <c r="I277" s="386"/>
      <c r="J277" s="387"/>
      <c r="K277" s="387"/>
      <c r="L277" s="387"/>
      <c r="M277" s="197"/>
      <c r="N277" s="196"/>
    </row>
    <row r="278" spans="1:14" x14ac:dyDescent="0.35">
      <c r="A278" s="231">
        <v>277</v>
      </c>
      <c r="B278" s="194"/>
      <c r="C278" s="195"/>
      <c r="D278" s="386"/>
      <c r="E278" s="386"/>
      <c r="F278" s="386"/>
      <c r="G278" s="386"/>
      <c r="H278" s="386"/>
      <c r="I278" s="386"/>
      <c r="J278" s="387"/>
      <c r="K278" s="387"/>
      <c r="L278" s="387"/>
      <c r="M278" s="197"/>
      <c r="N278" s="196"/>
    </row>
    <row r="279" spans="1:14" x14ac:dyDescent="0.35">
      <c r="A279" s="231">
        <v>278</v>
      </c>
      <c r="B279" s="194"/>
      <c r="C279" s="195"/>
      <c r="D279" s="386"/>
      <c r="E279" s="386"/>
      <c r="F279" s="386"/>
      <c r="G279" s="386"/>
      <c r="H279" s="386"/>
      <c r="I279" s="386"/>
      <c r="J279" s="387"/>
      <c r="K279" s="387"/>
      <c r="L279" s="387"/>
      <c r="M279" s="197"/>
      <c r="N279" s="196"/>
    </row>
    <row r="280" spans="1:14" x14ac:dyDescent="0.35">
      <c r="A280" s="231">
        <v>279</v>
      </c>
      <c r="B280" s="194"/>
      <c r="C280" s="195"/>
      <c r="D280" s="386"/>
      <c r="E280" s="386"/>
      <c r="F280" s="386"/>
      <c r="G280" s="386"/>
      <c r="H280" s="386"/>
      <c r="I280" s="386"/>
      <c r="J280" s="387"/>
      <c r="K280" s="387"/>
      <c r="L280" s="387"/>
      <c r="M280" s="197"/>
      <c r="N280" s="196"/>
    </row>
    <row r="281" spans="1:14" x14ac:dyDescent="0.35">
      <c r="A281" s="231">
        <v>280</v>
      </c>
      <c r="B281" s="194"/>
      <c r="C281" s="195"/>
      <c r="D281" s="386"/>
      <c r="E281" s="386"/>
      <c r="F281" s="386"/>
      <c r="G281" s="386"/>
      <c r="H281" s="386"/>
      <c r="I281" s="386"/>
      <c r="J281" s="387"/>
      <c r="K281" s="387"/>
      <c r="L281" s="387"/>
      <c r="M281" s="197"/>
      <c r="N281" s="196"/>
    </row>
    <row r="282" spans="1:14" x14ac:dyDescent="0.35">
      <c r="A282" s="231">
        <v>281</v>
      </c>
      <c r="B282" s="194"/>
      <c r="C282" s="195"/>
      <c r="D282" s="386"/>
      <c r="E282" s="386"/>
      <c r="F282" s="386"/>
      <c r="G282" s="386"/>
      <c r="H282" s="386"/>
      <c r="I282" s="386"/>
      <c r="J282" s="387"/>
      <c r="K282" s="387"/>
      <c r="L282" s="387"/>
      <c r="M282" s="197"/>
      <c r="N282" s="196"/>
    </row>
    <row r="283" spans="1:14" x14ac:dyDescent="0.35">
      <c r="A283" s="231">
        <v>282</v>
      </c>
      <c r="B283" s="194"/>
      <c r="C283" s="195"/>
      <c r="D283" s="386"/>
      <c r="E283" s="386"/>
      <c r="F283" s="386"/>
      <c r="G283" s="386"/>
      <c r="H283" s="386"/>
      <c r="I283" s="386"/>
      <c r="J283" s="387"/>
      <c r="K283" s="387"/>
      <c r="L283" s="387"/>
      <c r="M283" s="197"/>
      <c r="N283" s="196"/>
    </row>
    <row r="284" spans="1:14" x14ac:dyDescent="0.35">
      <c r="A284" s="231">
        <v>283</v>
      </c>
      <c r="B284" s="194"/>
      <c r="C284" s="195"/>
      <c r="D284" s="386"/>
      <c r="E284" s="386"/>
      <c r="F284" s="386"/>
      <c r="G284" s="386"/>
      <c r="H284" s="386"/>
      <c r="I284" s="386"/>
      <c r="J284" s="387"/>
      <c r="K284" s="387"/>
      <c r="L284" s="387"/>
      <c r="M284" s="197"/>
      <c r="N284" s="196"/>
    </row>
    <row r="285" spans="1:14" x14ac:dyDescent="0.35">
      <c r="A285" s="231">
        <v>284</v>
      </c>
      <c r="B285" s="194"/>
      <c r="C285" s="195"/>
      <c r="D285" s="386"/>
      <c r="E285" s="386"/>
      <c r="F285" s="386"/>
      <c r="G285" s="386"/>
      <c r="H285" s="386"/>
      <c r="I285" s="386"/>
      <c r="J285" s="387"/>
      <c r="K285" s="387"/>
      <c r="L285" s="387"/>
      <c r="M285" s="197"/>
      <c r="N285" s="196"/>
    </row>
    <row r="286" spans="1:14" x14ac:dyDescent="0.35">
      <c r="A286" s="231">
        <v>285</v>
      </c>
      <c r="B286" s="194"/>
      <c r="C286" s="195"/>
      <c r="D286" s="386"/>
      <c r="E286" s="386"/>
      <c r="F286" s="386"/>
      <c r="G286" s="386"/>
      <c r="H286" s="386"/>
      <c r="I286" s="386"/>
      <c r="J286" s="387"/>
      <c r="K286" s="387"/>
      <c r="L286" s="387"/>
      <c r="M286" s="197"/>
      <c r="N286" s="196"/>
    </row>
    <row r="287" spans="1:14" x14ac:dyDescent="0.35">
      <c r="A287" s="231">
        <v>286</v>
      </c>
      <c r="B287" s="194"/>
      <c r="C287" s="195"/>
      <c r="D287" s="386"/>
      <c r="E287" s="386"/>
      <c r="F287" s="386"/>
      <c r="G287" s="386"/>
      <c r="H287" s="386"/>
      <c r="I287" s="386"/>
      <c r="J287" s="387"/>
      <c r="K287" s="387"/>
      <c r="L287" s="387"/>
      <c r="M287" s="197"/>
      <c r="N287" s="196"/>
    </row>
    <row r="288" spans="1:14" x14ac:dyDescent="0.35">
      <c r="A288" s="231">
        <v>287</v>
      </c>
      <c r="B288" s="194"/>
      <c r="C288" s="195"/>
      <c r="D288" s="386"/>
      <c r="E288" s="386"/>
      <c r="F288" s="386"/>
      <c r="G288" s="386"/>
      <c r="H288" s="386"/>
      <c r="I288" s="386"/>
      <c r="J288" s="387"/>
      <c r="K288" s="387"/>
      <c r="L288" s="387"/>
      <c r="M288" s="197"/>
      <c r="N288" s="196"/>
    </row>
    <row r="289" spans="1:14" x14ac:dyDescent="0.35">
      <c r="A289" s="231">
        <v>288</v>
      </c>
      <c r="B289" s="194"/>
      <c r="C289" s="195"/>
      <c r="D289" s="386"/>
      <c r="E289" s="386"/>
      <c r="F289" s="386"/>
      <c r="G289" s="386"/>
      <c r="H289" s="386"/>
      <c r="I289" s="386"/>
      <c r="J289" s="387"/>
      <c r="K289" s="387"/>
      <c r="L289" s="387"/>
      <c r="M289" s="197"/>
      <c r="N289" s="196"/>
    </row>
    <row r="290" spans="1:14" x14ac:dyDescent="0.35">
      <c r="A290" s="231">
        <v>289</v>
      </c>
      <c r="B290" s="194"/>
      <c r="C290" s="195"/>
      <c r="D290" s="386"/>
      <c r="E290" s="386"/>
      <c r="F290" s="386"/>
      <c r="G290" s="386"/>
      <c r="H290" s="386"/>
      <c r="I290" s="386"/>
      <c r="J290" s="387"/>
      <c r="K290" s="387"/>
      <c r="L290" s="387"/>
      <c r="M290" s="197"/>
      <c r="N290" s="196"/>
    </row>
    <row r="291" spans="1:14" x14ac:dyDescent="0.35">
      <c r="A291" s="231">
        <v>290</v>
      </c>
      <c r="B291" s="194"/>
      <c r="C291" s="195"/>
      <c r="D291" s="386"/>
      <c r="E291" s="386"/>
      <c r="F291" s="386"/>
      <c r="G291" s="386"/>
      <c r="H291" s="386"/>
      <c r="I291" s="386"/>
      <c r="J291" s="387"/>
      <c r="K291" s="387"/>
      <c r="L291" s="387"/>
      <c r="M291" s="197"/>
      <c r="N291" s="196"/>
    </row>
    <row r="292" spans="1:14" x14ac:dyDescent="0.35">
      <c r="A292" s="231">
        <v>291</v>
      </c>
      <c r="B292" s="194"/>
      <c r="C292" s="195"/>
      <c r="D292" s="386"/>
      <c r="E292" s="386"/>
      <c r="F292" s="386"/>
      <c r="G292" s="386"/>
      <c r="H292" s="386"/>
      <c r="I292" s="386"/>
      <c r="J292" s="387"/>
      <c r="K292" s="387"/>
      <c r="L292" s="387"/>
      <c r="M292" s="197"/>
      <c r="N292" s="196"/>
    </row>
    <row r="293" spans="1:14" x14ac:dyDescent="0.35">
      <c r="A293" s="231">
        <v>292</v>
      </c>
      <c r="B293" s="194"/>
      <c r="C293" s="195"/>
      <c r="D293" s="386"/>
      <c r="E293" s="386"/>
      <c r="F293" s="386"/>
      <c r="G293" s="386"/>
      <c r="H293" s="386"/>
      <c r="I293" s="386"/>
      <c r="J293" s="387"/>
      <c r="K293" s="387"/>
      <c r="L293" s="387"/>
      <c r="M293" s="197"/>
      <c r="N293" s="196"/>
    </row>
    <row r="294" spans="1:14" x14ac:dyDescent="0.35">
      <c r="A294" s="231">
        <v>293</v>
      </c>
      <c r="B294" s="194"/>
      <c r="C294" s="195"/>
      <c r="D294" s="386"/>
      <c r="E294" s="386"/>
      <c r="F294" s="386"/>
      <c r="G294" s="386"/>
      <c r="H294" s="386"/>
      <c r="I294" s="386"/>
      <c r="J294" s="387"/>
      <c r="K294" s="387"/>
      <c r="L294" s="387"/>
      <c r="M294" s="197"/>
      <c r="N294" s="196"/>
    </row>
    <row r="295" spans="1:14" x14ac:dyDescent="0.35">
      <c r="A295" s="231">
        <v>294</v>
      </c>
      <c r="B295" s="194"/>
      <c r="C295" s="195"/>
      <c r="D295" s="386"/>
      <c r="E295" s="386"/>
      <c r="F295" s="386"/>
      <c r="G295" s="386"/>
      <c r="H295" s="386"/>
      <c r="I295" s="386"/>
      <c r="J295" s="387"/>
      <c r="K295" s="387"/>
      <c r="L295" s="387"/>
      <c r="M295" s="197"/>
      <c r="N295" s="196"/>
    </row>
    <row r="296" spans="1:14" x14ac:dyDescent="0.35">
      <c r="A296" s="231">
        <v>295</v>
      </c>
      <c r="B296" s="194"/>
      <c r="C296" s="195"/>
      <c r="D296" s="386"/>
      <c r="E296" s="386"/>
      <c r="F296" s="386"/>
      <c r="G296" s="386"/>
      <c r="H296" s="386"/>
      <c r="I296" s="386"/>
      <c r="J296" s="387"/>
      <c r="K296" s="387"/>
      <c r="L296" s="387"/>
      <c r="M296" s="197"/>
      <c r="N296" s="196"/>
    </row>
    <row r="297" spans="1:14" x14ac:dyDescent="0.35">
      <c r="A297" s="231">
        <v>296</v>
      </c>
      <c r="B297" s="194"/>
      <c r="C297" s="195"/>
      <c r="D297" s="386"/>
      <c r="E297" s="386"/>
      <c r="F297" s="386"/>
      <c r="G297" s="386"/>
      <c r="H297" s="386"/>
      <c r="I297" s="386"/>
      <c r="J297" s="387"/>
      <c r="K297" s="387"/>
      <c r="L297" s="387"/>
      <c r="M297" s="197"/>
      <c r="N297" s="196"/>
    </row>
    <row r="298" spans="1:14" x14ac:dyDescent="0.35">
      <c r="A298" s="231">
        <v>297</v>
      </c>
      <c r="B298" s="194"/>
      <c r="C298" s="195"/>
      <c r="D298" s="386"/>
      <c r="E298" s="386"/>
      <c r="F298" s="386"/>
      <c r="G298" s="386"/>
      <c r="H298" s="386"/>
      <c r="I298" s="386"/>
      <c r="J298" s="387"/>
      <c r="K298" s="387"/>
      <c r="L298" s="387"/>
      <c r="M298" s="197"/>
      <c r="N298" s="196"/>
    </row>
    <row r="299" spans="1:14" x14ac:dyDescent="0.35">
      <c r="A299" s="231">
        <v>298</v>
      </c>
      <c r="B299" s="194"/>
      <c r="C299" s="195"/>
      <c r="D299" s="386"/>
      <c r="E299" s="386"/>
      <c r="F299" s="386"/>
      <c r="G299" s="386"/>
      <c r="H299" s="386"/>
      <c r="I299" s="386"/>
      <c r="J299" s="387"/>
      <c r="K299" s="387"/>
      <c r="L299" s="387"/>
      <c r="M299" s="197"/>
      <c r="N299" s="196"/>
    </row>
    <row r="300" spans="1:14" x14ac:dyDescent="0.35">
      <c r="A300" s="231">
        <v>299</v>
      </c>
      <c r="B300" s="194"/>
      <c r="C300" s="195"/>
      <c r="D300" s="386"/>
      <c r="E300" s="386"/>
      <c r="F300" s="386"/>
      <c r="G300" s="386"/>
      <c r="H300" s="386"/>
      <c r="I300" s="386"/>
      <c r="J300" s="387"/>
      <c r="K300" s="387"/>
      <c r="L300" s="387"/>
      <c r="M300" s="197"/>
      <c r="N300" s="196"/>
    </row>
  </sheetData>
  <mergeCells count="600">
    <mergeCell ref="D1:I1"/>
    <mergeCell ref="J1:L1"/>
    <mergeCell ref="D5:I5"/>
    <mergeCell ref="J5:L5"/>
    <mergeCell ref="D6:I6"/>
    <mergeCell ref="J6:L6"/>
    <mergeCell ref="D7:I7"/>
    <mergeCell ref="J7:L7"/>
    <mergeCell ref="D2:I2"/>
    <mergeCell ref="J2:L2"/>
    <mergeCell ref="D3:I3"/>
    <mergeCell ref="J3:L3"/>
    <mergeCell ref="D4:I4"/>
    <mergeCell ref="J4:L4"/>
    <mergeCell ref="D10:I10"/>
    <mergeCell ref="J10:L10"/>
    <mergeCell ref="D11:I11"/>
    <mergeCell ref="J11:L11"/>
    <mergeCell ref="D12:I12"/>
    <mergeCell ref="J12:L12"/>
    <mergeCell ref="D8:I8"/>
    <mergeCell ref="J8:L8"/>
    <mergeCell ref="D9:I9"/>
    <mergeCell ref="J9:L9"/>
    <mergeCell ref="D16:I16"/>
    <mergeCell ref="J16:L16"/>
    <mergeCell ref="D17:I17"/>
    <mergeCell ref="J17:L17"/>
    <mergeCell ref="D18:I18"/>
    <mergeCell ref="J18:L18"/>
    <mergeCell ref="D13:I13"/>
    <mergeCell ref="J13:L13"/>
    <mergeCell ref="D14:I14"/>
    <mergeCell ref="J14:L14"/>
    <mergeCell ref="D15:I15"/>
    <mergeCell ref="J15:L15"/>
    <mergeCell ref="D22:I22"/>
    <mergeCell ref="J22:L22"/>
    <mergeCell ref="D23:I23"/>
    <mergeCell ref="J23:L23"/>
    <mergeCell ref="D24:I24"/>
    <mergeCell ref="J24:L24"/>
    <mergeCell ref="D19:I19"/>
    <mergeCell ref="J19:L19"/>
    <mergeCell ref="D20:I20"/>
    <mergeCell ref="J20:L20"/>
    <mergeCell ref="D21:I21"/>
    <mergeCell ref="J21:L21"/>
    <mergeCell ref="D28:I28"/>
    <mergeCell ref="J28:L28"/>
    <mergeCell ref="D29:I29"/>
    <mergeCell ref="J29:L29"/>
    <mergeCell ref="D30:I30"/>
    <mergeCell ref="J30:L30"/>
    <mergeCell ref="D25:I25"/>
    <mergeCell ref="J25:L25"/>
    <mergeCell ref="D26:I26"/>
    <mergeCell ref="J26:L26"/>
    <mergeCell ref="D27:I27"/>
    <mergeCell ref="J27:L27"/>
    <mergeCell ref="D34:I34"/>
    <mergeCell ref="J34:L34"/>
    <mergeCell ref="D35:I35"/>
    <mergeCell ref="J35:L35"/>
    <mergeCell ref="D36:I36"/>
    <mergeCell ref="J36:L36"/>
    <mergeCell ref="D31:I31"/>
    <mergeCell ref="J31:L31"/>
    <mergeCell ref="D32:I32"/>
    <mergeCell ref="J32:L32"/>
    <mergeCell ref="D33:I33"/>
    <mergeCell ref="J33:L33"/>
    <mergeCell ref="D40:I40"/>
    <mergeCell ref="J40:L40"/>
    <mergeCell ref="D41:I41"/>
    <mergeCell ref="J41:L41"/>
    <mergeCell ref="D42:I42"/>
    <mergeCell ref="J42:L42"/>
    <mergeCell ref="D37:I37"/>
    <mergeCell ref="J37:L37"/>
    <mergeCell ref="D38:I38"/>
    <mergeCell ref="J38:L38"/>
    <mergeCell ref="D39:I39"/>
    <mergeCell ref="J39:L39"/>
    <mergeCell ref="D46:I46"/>
    <mergeCell ref="J46:L46"/>
    <mergeCell ref="D47:I47"/>
    <mergeCell ref="J47:L47"/>
    <mergeCell ref="D48:I48"/>
    <mergeCell ref="J48:L48"/>
    <mergeCell ref="D43:I43"/>
    <mergeCell ref="J43:L43"/>
    <mergeCell ref="D44:I44"/>
    <mergeCell ref="J44:L44"/>
    <mergeCell ref="D45:I45"/>
    <mergeCell ref="J45:L45"/>
    <mergeCell ref="D52:I52"/>
    <mergeCell ref="J52:L52"/>
    <mergeCell ref="D53:I53"/>
    <mergeCell ref="J53:L53"/>
    <mergeCell ref="D54:I54"/>
    <mergeCell ref="J54:L54"/>
    <mergeCell ref="D49:I49"/>
    <mergeCell ref="J49:L49"/>
    <mergeCell ref="D50:I50"/>
    <mergeCell ref="J50:L50"/>
    <mergeCell ref="D51:I51"/>
    <mergeCell ref="J51:L51"/>
    <mergeCell ref="D58:I58"/>
    <mergeCell ref="J58:L58"/>
    <mergeCell ref="D59:I59"/>
    <mergeCell ref="J59:L59"/>
    <mergeCell ref="D60:I60"/>
    <mergeCell ref="J60:L60"/>
    <mergeCell ref="D55:I55"/>
    <mergeCell ref="J55:L55"/>
    <mergeCell ref="D56:I56"/>
    <mergeCell ref="J56:L56"/>
    <mergeCell ref="D57:I57"/>
    <mergeCell ref="J57:L57"/>
    <mergeCell ref="D64:I64"/>
    <mergeCell ref="J64:L64"/>
    <mergeCell ref="D65:I65"/>
    <mergeCell ref="J65:L65"/>
    <mergeCell ref="D66:I66"/>
    <mergeCell ref="J66:L66"/>
    <mergeCell ref="D61:I61"/>
    <mergeCell ref="J61:L61"/>
    <mergeCell ref="D62:I62"/>
    <mergeCell ref="J62:L62"/>
    <mergeCell ref="D63:I63"/>
    <mergeCell ref="J63:L63"/>
    <mergeCell ref="D70:I70"/>
    <mergeCell ref="J70:L70"/>
    <mergeCell ref="D71:I71"/>
    <mergeCell ref="J71:L71"/>
    <mergeCell ref="D72:I72"/>
    <mergeCell ref="J72:L72"/>
    <mergeCell ref="D67:I67"/>
    <mergeCell ref="J67:L67"/>
    <mergeCell ref="D68:I68"/>
    <mergeCell ref="J68:L68"/>
    <mergeCell ref="D69:I69"/>
    <mergeCell ref="J69:L69"/>
    <mergeCell ref="D76:I76"/>
    <mergeCell ref="J76:L76"/>
    <mergeCell ref="D77:I77"/>
    <mergeCell ref="J77:L77"/>
    <mergeCell ref="D78:I78"/>
    <mergeCell ref="J78:L78"/>
    <mergeCell ref="D73:I73"/>
    <mergeCell ref="J73:L73"/>
    <mergeCell ref="D74:I74"/>
    <mergeCell ref="J74:L74"/>
    <mergeCell ref="D75:I75"/>
    <mergeCell ref="J75:L75"/>
    <mergeCell ref="D82:I82"/>
    <mergeCell ref="J82:L82"/>
    <mergeCell ref="D83:I83"/>
    <mergeCell ref="J83:L83"/>
    <mergeCell ref="D84:I84"/>
    <mergeCell ref="J84:L84"/>
    <mergeCell ref="D79:I79"/>
    <mergeCell ref="J79:L79"/>
    <mergeCell ref="D80:I80"/>
    <mergeCell ref="J80:L80"/>
    <mergeCell ref="D81:I81"/>
    <mergeCell ref="J81:L81"/>
    <mergeCell ref="D88:I88"/>
    <mergeCell ref="J88:L88"/>
    <mergeCell ref="D89:I89"/>
    <mergeCell ref="J89:L89"/>
    <mergeCell ref="D90:I90"/>
    <mergeCell ref="J90:L90"/>
    <mergeCell ref="D85:I85"/>
    <mergeCell ref="J85:L85"/>
    <mergeCell ref="D86:I86"/>
    <mergeCell ref="J86:L86"/>
    <mergeCell ref="D87:I87"/>
    <mergeCell ref="J87:L87"/>
    <mergeCell ref="D94:I94"/>
    <mergeCell ref="J94:L94"/>
    <mergeCell ref="D95:I95"/>
    <mergeCell ref="J95:L95"/>
    <mergeCell ref="D96:I96"/>
    <mergeCell ref="J96:L96"/>
    <mergeCell ref="D91:I91"/>
    <mergeCell ref="J91:L91"/>
    <mergeCell ref="D92:I92"/>
    <mergeCell ref="J92:L92"/>
    <mergeCell ref="D93:I93"/>
    <mergeCell ref="J93:L93"/>
    <mergeCell ref="D100:I100"/>
    <mergeCell ref="J100:L100"/>
    <mergeCell ref="D101:I101"/>
    <mergeCell ref="J101:L101"/>
    <mergeCell ref="D102:I102"/>
    <mergeCell ref="J102:L102"/>
    <mergeCell ref="D97:I97"/>
    <mergeCell ref="J97:L97"/>
    <mergeCell ref="D98:I98"/>
    <mergeCell ref="J98:L98"/>
    <mergeCell ref="D99:I99"/>
    <mergeCell ref="J99:L99"/>
    <mergeCell ref="D106:I106"/>
    <mergeCell ref="J106:L106"/>
    <mergeCell ref="D107:I107"/>
    <mergeCell ref="J107:L107"/>
    <mergeCell ref="D108:I108"/>
    <mergeCell ref="J108:L108"/>
    <mergeCell ref="D103:I103"/>
    <mergeCell ref="J103:L103"/>
    <mergeCell ref="D104:I104"/>
    <mergeCell ref="J104:L104"/>
    <mergeCell ref="D105:I105"/>
    <mergeCell ref="J105:L105"/>
    <mergeCell ref="D112:I112"/>
    <mergeCell ref="J112:L112"/>
    <mergeCell ref="D113:I113"/>
    <mergeCell ref="J113:L113"/>
    <mergeCell ref="D114:I114"/>
    <mergeCell ref="J114:L114"/>
    <mergeCell ref="D109:I109"/>
    <mergeCell ref="J109:L109"/>
    <mergeCell ref="D110:I110"/>
    <mergeCell ref="J110:L110"/>
    <mergeCell ref="D111:I111"/>
    <mergeCell ref="J111:L111"/>
    <mergeCell ref="D118:I118"/>
    <mergeCell ref="J118:L118"/>
    <mergeCell ref="D119:I119"/>
    <mergeCell ref="J119:L119"/>
    <mergeCell ref="D120:I120"/>
    <mergeCell ref="J120:L120"/>
    <mergeCell ref="D115:I115"/>
    <mergeCell ref="J115:L115"/>
    <mergeCell ref="D116:I116"/>
    <mergeCell ref="J116:L116"/>
    <mergeCell ref="D117:I117"/>
    <mergeCell ref="J117:L117"/>
    <mergeCell ref="D124:I124"/>
    <mergeCell ref="J124:L124"/>
    <mergeCell ref="D125:I125"/>
    <mergeCell ref="J125:L125"/>
    <mergeCell ref="D126:I126"/>
    <mergeCell ref="J126:L126"/>
    <mergeCell ref="D121:I121"/>
    <mergeCell ref="J121:L121"/>
    <mergeCell ref="D122:I122"/>
    <mergeCell ref="J122:L122"/>
    <mergeCell ref="D123:I123"/>
    <mergeCell ref="J123:L123"/>
    <mergeCell ref="D130:I130"/>
    <mergeCell ref="J130:L130"/>
    <mergeCell ref="D131:I131"/>
    <mergeCell ref="J131:L131"/>
    <mergeCell ref="D132:I132"/>
    <mergeCell ref="J132:L132"/>
    <mergeCell ref="D127:I127"/>
    <mergeCell ref="J127:L127"/>
    <mergeCell ref="D128:I128"/>
    <mergeCell ref="J128:L128"/>
    <mergeCell ref="D129:I129"/>
    <mergeCell ref="J129:L129"/>
    <mergeCell ref="D136:I136"/>
    <mergeCell ref="J136:L136"/>
    <mergeCell ref="D137:I137"/>
    <mergeCell ref="J137:L137"/>
    <mergeCell ref="D138:I138"/>
    <mergeCell ref="J138:L138"/>
    <mergeCell ref="D133:I133"/>
    <mergeCell ref="J133:L133"/>
    <mergeCell ref="D134:I134"/>
    <mergeCell ref="J134:L134"/>
    <mergeCell ref="D135:I135"/>
    <mergeCell ref="J135:L135"/>
    <mergeCell ref="D142:I142"/>
    <mergeCell ref="J142:L142"/>
    <mergeCell ref="D143:I143"/>
    <mergeCell ref="J143:L143"/>
    <mergeCell ref="D144:I144"/>
    <mergeCell ref="J144:L144"/>
    <mergeCell ref="D139:I139"/>
    <mergeCell ref="J139:L139"/>
    <mergeCell ref="D140:I140"/>
    <mergeCell ref="J140:L140"/>
    <mergeCell ref="D141:I141"/>
    <mergeCell ref="J141:L141"/>
    <mergeCell ref="D148:I148"/>
    <mergeCell ref="J148:L148"/>
    <mergeCell ref="D149:I149"/>
    <mergeCell ref="J149:L149"/>
    <mergeCell ref="D150:I150"/>
    <mergeCell ref="J150:L150"/>
    <mergeCell ref="D145:I145"/>
    <mergeCell ref="J145:L145"/>
    <mergeCell ref="D146:I146"/>
    <mergeCell ref="J146:L146"/>
    <mergeCell ref="D147:I147"/>
    <mergeCell ref="J147:L147"/>
    <mergeCell ref="D154:I154"/>
    <mergeCell ref="J154:L154"/>
    <mergeCell ref="D155:I155"/>
    <mergeCell ref="J155:L155"/>
    <mergeCell ref="D156:I156"/>
    <mergeCell ref="J156:L156"/>
    <mergeCell ref="D151:I151"/>
    <mergeCell ref="J151:L151"/>
    <mergeCell ref="D152:I152"/>
    <mergeCell ref="J152:L152"/>
    <mergeCell ref="D153:I153"/>
    <mergeCell ref="J153:L153"/>
    <mergeCell ref="D160:I160"/>
    <mergeCell ref="J160:L160"/>
    <mergeCell ref="D161:I161"/>
    <mergeCell ref="J161:L161"/>
    <mergeCell ref="D162:I162"/>
    <mergeCell ref="J162:L162"/>
    <mergeCell ref="D157:I157"/>
    <mergeCell ref="J157:L157"/>
    <mergeCell ref="D158:I158"/>
    <mergeCell ref="J158:L158"/>
    <mergeCell ref="D159:I159"/>
    <mergeCell ref="J159:L159"/>
    <mergeCell ref="D166:I166"/>
    <mergeCell ref="J166:L166"/>
    <mergeCell ref="D167:I167"/>
    <mergeCell ref="J167:L167"/>
    <mergeCell ref="D168:I168"/>
    <mergeCell ref="J168:L168"/>
    <mergeCell ref="D163:I163"/>
    <mergeCell ref="J163:L163"/>
    <mergeCell ref="D164:I164"/>
    <mergeCell ref="J164:L164"/>
    <mergeCell ref="D165:I165"/>
    <mergeCell ref="J165:L165"/>
    <mergeCell ref="D172:I172"/>
    <mergeCell ref="J172:L172"/>
    <mergeCell ref="D173:I173"/>
    <mergeCell ref="J173:L173"/>
    <mergeCell ref="D174:I174"/>
    <mergeCell ref="J174:L174"/>
    <mergeCell ref="D169:I169"/>
    <mergeCell ref="J169:L169"/>
    <mergeCell ref="D170:I170"/>
    <mergeCell ref="J170:L170"/>
    <mergeCell ref="D171:I171"/>
    <mergeCell ref="J171:L171"/>
    <mergeCell ref="D178:I178"/>
    <mergeCell ref="J178:L178"/>
    <mergeCell ref="D179:I179"/>
    <mergeCell ref="J179:L179"/>
    <mergeCell ref="D180:I180"/>
    <mergeCell ref="J180:L180"/>
    <mergeCell ref="D175:I175"/>
    <mergeCell ref="J175:L175"/>
    <mergeCell ref="D176:I176"/>
    <mergeCell ref="J176:L176"/>
    <mergeCell ref="D177:I177"/>
    <mergeCell ref="J177:L177"/>
    <mergeCell ref="D184:I184"/>
    <mergeCell ref="J184:L184"/>
    <mergeCell ref="D185:I185"/>
    <mergeCell ref="J185:L185"/>
    <mergeCell ref="D186:I186"/>
    <mergeCell ref="J186:L186"/>
    <mergeCell ref="D181:I181"/>
    <mergeCell ref="J181:L181"/>
    <mergeCell ref="D182:I182"/>
    <mergeCell ref="J182:L182"/>
    <mergeCell ref="D183:I183"/>
    <mergeCell ref="J183:L183"/>
    <mergeCell ref="D190:I190"/>
    <mergeCell ref="J190:L190"/>
    <mergeCell ref="D191:I191"/>
    <mergeCell ref="J191:L191"/>
    <mergeCell ref="D192:I192"/>
    <mergeCell ref="J192:L192"/>
    <mergeCell ref="D187:I187"/>
    <mergeCell ref="J187:L187"/>
    <mergeCell ref="D188:I188"/>
    <mergeCell ref="J188:L188"/>
    <mergeCell ref="D189:I189"/>
    <mergeCell ref="J189:L189"/>
    <mergeCell ref="D196:I196"/>
    <mergeCell ref="J196:L196"/>
    <mergeCell ref="D197:I197"/>
    <mergeCell ref="J197:L197"/>
    <mergeCell ref="D198:I198"/>
    <mergeCell ref="J198:L198"/>
    <mergeCell ref="D193:I193"/>
    <mergeCell ref="J193:L193"/>
    <mergeCell ref="D194:I194"/>
    <mergeCell ref="J194:L194"/>
    <mergeCell ref="D195:I195"/>
    <mergeCell ref="J195:L195"/>
    <mergeCell ref="D202:I202"/>
    <mergeCell ref="J202:L202"/>
    <mergeCell ref="D203:I203"/>
    <mergeCell ref="J203:L203"/>
    <mergeCell ref="D204:I204"/>
    <mergeCell ref="J204:L204"/>
    <mergeCell ref="D199:I199"/>
    <mergeCell ref="J199:L199"/>
    <mergeCell ref="D200:I200"/>
    <mergeCell ref="J200:L200"/>
    <mergeCell ref="D201:I201"/>
    <mergeCell ref="J201:L201"/>
    <mergeCell ref="D208:I208"/>
    <mergeCell ref="J208:L208"/>
    <mergeCell ref="D209:I209"/>
    <mergeCell ref="J209:L209"/>
    <mergeCell ref="D210:I210"/>
    <mergeCell ref="J210:L210"/>
    <mergeCell ref="D205:I205"/>
    <mergeCell ref="J205:L205"/>
    <mergeCell ref="D206:I206"/>
    <mergeCell ref="J206:L206"/>
    <mergeCell ref="D207:I207"/>
    <mergeCell ref="J207:L207"/>
    <mergeCell ref="D214:I214"/>
    <mergeCell ref="J214:L214"/>
    <mergeCell ref="D215:I215"/>
    <mergeCell ref="J215:L215"/>
    <mergeCell ref="D216:I216"/>
    <mergeCell ref="J216:L216"/>
    <mergeCell ref="D211:I211"/>
    <mergeCell ref="J211:L211"/>
    <mergeCell ref="D212:I212"/>
    <mergeCell ref="J212:L212"/>
    <mergeCell ref="D213:I213"/>
    <mergeCell ref="J213:L213"/>
    <mergeCell ref="D220:I220"/>
    <mergeCell ref="J220:L220"/>
    <mergeCell ref="D221:I221"/>
    <mergeCell ref="J221:L221"/>
    <mergeCell ref="D222:I222"/>
    <mergeCell ref="J222:L222"/>
    <mergeCell ref="D217:I217"/>
    <mergeCell ref="J217:L217"/>
    <mergeCell ref="D218:I218"/>
    <mergeCell ref="J218:L218"/>
    <mergeCell ref="D219:I219"/>
    <mergeCell ref="J219:L219"/>
    <mergeCell ref="D226:I226"/>
    <mergeCell ref="J226:L226"/>
    <mergeCell ref="D227:I227"/>
    <mergeCell ref="J227:L227"/>
    <mergeCell ref="D228:I228"/>
    <mergeCell ref="J228:L228"/>
    <mergeCell ref="D223:I223"/>
    <mergeCell ref="J223:L223"/>
    <mergeCell ref="D224:I224"/>
    <mergeCell ref="J224:L224"/>
    <mergeCell ref="D225:I225"/>
    <mergeCell ref="J225:L225"/>
    <mergeCell ref="D232:I232"/>
    <mergeCell ref="J232:L232"/>
    <mergeCell ref="D233:I233"/>
    <mergeCell ref="J233:L233"/>
    <mergeCell ref="D234:I234"/>
    <mergeCell ref="J234:L234"/>
    <mergeCell ref="D229:I229"/>
    <mergeCell ref="J229:L229"/>
    <mergeCell ref="D230:I230"/>
    <mergeCell ref="J230:L230"/>
    <mergeCell ref="D231:I231"/>
    <mergeCell ref="J231:L231"/>
    <mergeCell ref="D238:I238"/>
    <mergeCell ref="J238:L238"/>
    <mergeCell ref="D239:I239"/>
    <mergeCell ref="J239:L239"/>
    <mergeCell ref="D240:I240"/>
    <mergeCell ref="J240:L240"/>
    <mergeCell ref="D235:I235"/>
    <mergeCell ref="J235:L235"/>
    <mergeCell ref="D236:I236"/>
    <mergeCell ref="J236:L236"/>
    <mergeCell ref="D237:I237"/>
    <mergeCell ref="J237:L237"/>
    <mergeCell ref="D244:I244"/>
    <mergeCell ref="J244:L244"/>
    <mergeCell ref="D245:I245"/>
    <mergeCell ref="J245:L245"/>
    <mergeCell ref="D246:I246"/>
    <mergeCell ref="J246:L246"/>
    <mergeCell ref="D241:I241"/>
    <mergeCell ref="J241:L241"/>
    <mergeCell ref="D242:I242"/>
    <mergeCell ref="J242:L242"/>
    <mergeCell ref="D243:I243"/>
    <mergeCell ref="J243:L243"/>
    <mergeCell ref="D250:I250"/>
    <mergeCell ref="J250:L250"/>
    <mergeCell ref="D251:I251"/>
    <mergeCell ref="J251:L251"/>
    <mergeCell ref="D252:I252"/>
    <mergeCell ref="J252:L252"/>
    <mergeCell ref="D247:I247"/>
    <mergeCell ref="J247:L247"/>
    <mergeCell ref="D248:I248"/>
    <mergeCell ref="J248:L248"/>
    <mergeCell ref="D249:I249"/>
    <mergeCell ref="J249:L249"/>
    <mergeCell ref="D256:I256"/>
    <mergeCell ref="J256:L256"/>
    <mergeCell ref="D257:I257"/>
    <mergeCell ref="J257:L257"/>
    <mergeCell ref="D258:I258"/>
    <mergeCell ref="J258:L258"/>
    <mergeCell ref="D253:I253"/>
    <mergeCell ref="J253:L253"/>
    <mergeCell ref="D254:I254"/>
    <mergeCell ref="J254:L254"/>
    <mergeCell ref="D255:I255"/>
    <mergeCell ref="J255:L255"/>
    <mergeCell ref="D262:I262"/>
    <mergeCell ref="J262:L262"/>
    <mergeCell ref="D263:I263"/>
    <mergeCell ref="J263:L263"/>
    <mergeCell ref="D264:I264"/>
    <mergeCell ref="J264:L264"/>
    <mergeCell ref="D259:I259"/>
    <mergeCell ref="J259:L259"/>
    <mergeCell ref="D260:I260"/>
    <mergeCell ref="J260:L260"/>
    <mergeCell ref="D261:I261"/>
    <mergeCell ref="J261:L261"/>
    <mergeCell ref="D268:I268"/>
    <mergeCell ref="J268:L268"/>
    <mergeCell ref="D269:I269"/>
    <mergeCell ref="J269:L269"/>
    <mergeCell ref="D270:I270"/>
    <mergeCell ref="J270:L270"/>
    <mergeCell ref="D265:I265"/>
    <mergeCell ref="J265:L265"/>
    <mergeCell ref="D266:I266"/>
    <mergeCell ref="J266:L266"/>
    <mergeCell ref="D267:I267"/>
    <mergeCell ref="J267:L267"/>
    <mergeCell ref="D274:I274"/>
    <mergeCell ref="J274:L274"/>
    <mergeCell ref="D275:I275"/>
    <mergeCell ref="J275:L275"/>
    <mergeCell ref="D276:I276"/>
    <mergeCell ref="J276:L276"/>
    <mergeCell ref="D271:I271"/>
    <mergeCell ref="J271:L271"/>
    <mergeCell ref="D272:I272"/>
    <mergeCell ref="J272:L272"/>
    <mergeCell ref="D273:I273"/>
    <mergeCell ref="J273:L273"/>
    <mergeCell ref="D280:I280"/>
    <mergeCell ref="J280:L280"/>
    <mergeCell ref="D281:I281"/>
    <mergeCell ref="J281:L281"/>
    <mergeCell ref="D282:I282"/>
    <mergeCell ref="J282:L282"/>
    <mergeCell ref="D277:I277"/>
    <mergeCell ref="J277:L277"/>
    <mergeCell ref="D278:I278"/>
    <mergeCell ref="J278:L278"/>
    <mergeCell ref="D279:I279"/>
    <mergeCell ref="J279:L279"/>
    <mergeCell ref="D286:I286"/>
    <mergeCell ref="J286:L286"/>
    <mergeCell ref="D287:I287"/>
    <mergeCell ref="J287:L287"/>
    <mergeCell ref="D288:I288"/>
    <mergeCell ref="J288:L288"/>
    <mergeCell ref="D283:I283"/>
    <mergeCell ref="J283:L283"/>
    <mergeCell ref="D284:I284"/>
    <mergeCell ref="J284:L284"/>
    <mergeCell ref="D285:I285"/>
    <mergeCell ref="J285:L285"/>
    <mergeCell ref="D292:I292"/>
    <mergeCell ref="J292:L292"/>
    <mergeCell ref="D293:I293"/>
    <mergeCell ref="J293:L293"/>
    <mergeCell ref="D294:I294"/>
    <mergeCell ref="J294:L294"/>
    <mergeCell ref="D289:I289"/>
    <mergeCell ref="J289:L289"/>
    <mergeCell ref="D290:I290"/>
    <mergeCell ref="J290:L290"/>
    <mergeCell ref="D291:I291"/>
    <mergeCell ref="J291:L291"/>
    <mergeCell ref="D298:I298"/>
    <mergeCell ref="J298:L298"/>
    <mergeCell ref="D299:I299"/>
    <mergeCell ref="J299:L299"/>
    <mergeCell ref="D300:I300"/>
    <mergeCell ref="J300:L300"/>
    <mergeCell ref="D295:I295"/>
    <mergeCell ref="J295:L295"/>
    <mergeCell ref="D296:I296"/>
    <mergeCell ref="J296:L296"/>
    <mergeCell ref="D297:I297"/>
    <mergeCell ref="J297:L29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Expenses!$A$2:$A$1048576</xm:f>
          </x14:formula1>
          <xm:sqref>M2:M300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86E0-B35D-4674-9C16-17ABF3B8B9A7}">
  <sheetPr/>
  <sheetViews>
    <sheetView workbookViewId="0">
      <selection activeCell="A5" sqref="A5"/>
    </sheetView>
  </sheetViews>
  <sheetFormatPr defaultColWidth="9.1796875" defaultRowHeight="14.5" x14ac:dyDescent="0.35"/>
  <cols>
    <col min="1" max="1" width="27.7265625" customWidth="1"/>
  </cols>
  <sheetData>
    <row r="1" spans="1:1" x14ac:dyDescent="0.35">
      <c r="A1" t="s">
        <v>244</v>
      </c>
    </row>
    <row r="4" spans="1:1" x14ac:dyDescent="0.35">
      <c r="A4" t="s">
        <v>243</v>
      </c>
    </row>
    <row r="5" spans="1:1" x14ac:dyDescent="0.35">
      <c r="A5" t="s">
        <v>245</v>
      </c>
    </row>
    <row r="6" spans="1:1" x14ac:dyDescent="0.35">
      <c r="A6" t="s">
        <v>246</v>
      </c>
    </row>
    <row r="7" spans="1:1" x14ac:dyDescent="0.35">
      <c r="A7" t="s">
        <v>247</v>
      </c>
    </row>
    <row r="8" spans="1:1" x14ac:dyDescent="0.35">
      <c r="A8" t="s">
        <v>248</v>
      </c>
    </row>
    <row r="9" spans="1:1" x14ac:dyDescent="0.35">
      <c r="A9" t="s">
        <v>249</v>
      </c>
    </row>
    <row r="10" spans="1:1" x14ac:dyDescent="0.35">
      <c r="A10" t="s">
        <v>250</v>
      </c>
    </row>
    <row r="11" spans="1:1" x14ac:dyDescent="0.35">
      <c r="A11" t="s">
        <v>251</v>
      </c>
    </row>
    <row r="12" spans="1:1" x14ac:dyDescent="0.35">
      <c r="A12" t="s">
        <v>252</v>
      </c>
    </row>
    <row r="13" spans="1:1" ht="15" thickBot="1" x14ac:dyDescent="0.4">
      <c r="A13" t="s">
        <v>255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6DED-E135-4C34-97D9-637582B7B9A7}">
  <sheetPr/>
  <sheetViews>
    <sheetView workbookViewId="0">
      <selection activeCell="D39" sqref="D39"/>
    </sheetView>
  </sheetViews>
  <sheetFormatPr defaultColWidth="9.1796875" defaultRowHeight="14.5" x14ac:dyDescent="0.35"/>
  <sheetData>
    <row r="1" spans="1:10" ht="15.5" x14ac:dyDescent="0.35">
      <c r="A1" t="s" s="410">
        <v>288</v>
      </c>
      <c r="B1" s="410"/>
      <c r="C1" s="410"/>
      <c r="D1" s="410"/>
      <c r="E1" s="410"/>
      <c r="F1" s="410"/>
      <c r="G1" s="410"/>
      <c r="H1" s="410"/>
      <c r="I1" s="410"/>
      <c r="J1" s="410"/>
    </row>
    <row r="3" spans="1:10" x14ac:dyDescent="0.35">
      <c r="A3" t="s" s="411">
        <v>289</v>
      </c>
      <c r="B3" s="411"/>
      <c r="C3" t="s" s="412">
        <v>290</v>
      </c>
      <c r="D3" s="412"/>
      <c r="E3" s="412"/>
      <c r="F3" s="412"/>
      <c r="H3" t="s" s="242">
        <v>291</v>
      </c>
      <c r="I3" t="s" s="243">
        <v>292</v>
      </c>
      <c r="J3" s="244">
        <v>2020</v>
      </c>
    </row>
    <row r="5" spans="1:10" x14ac:dyDescent="0.35">
      <c r="A5" t="s" s="411">
        <v>293</v>
      </c>
      <c r="B5" s="411"/>
      <c r="C5" s="244">
        <v>32218</v>
      </c>
      <c r="E5" t="s" s="242">
        <v>294</v>
      </c>
      <c r="F5" s="245">
        <v>8000</v>
      </c>
      <c r="I5" t="s" s="242">
        <v>295</v>
      </c>
      <c r="J5" t="s" s="244">
        <v>132</v>
      </c>
    </row>
    <row r="7" spans="1:10" ht="52" x14ac:dyDescent="0.35">
      <c r="A7" t="s" s="409">
        <v>296</v>
      </c>
      <c r="B7" t="s" s="409">
        <v>297</v>
      </c>
      <c r="C7" s="409"/>
      <c r="D7" t="s" s="246">
        <v>298</v>
      </c>
      <c r="E7" t="s" s="246">
        <v>299</v>
      </c>
      <c r="F7" t="s" s="246">
        <v>300</v>
      </c>
      <c r="G7" t="s" s="409">
        <v>301</v>
      </c>
      <c r="H7" s="409"/>
      <c r="I7" t="s" s="246">
        <v>302</v>
      </c>
      <c r="J7" t="s" s="246">
        <v>303</v>
      </c>
    </row>
    <row r="8" spans="1:10" x14ac:dyDescent="0.35">
      <c r="A8" s="409"/>
      <c r="B8" t="s" s="240">
        <v>286</v>
      </c>
      <c r="C8" t="s" s="240">
        <v>304</v>
      </c>
      <c r="D8" t="s" s="240">
        <v>304</v>
      </c>
      <c r="E8" t="s" s="240">
        <v>304</v>
      </c>
      <c r="F8" t="s" s="240">
        <v>304</v>
      </c>
      <c r="G8" t="s" s="240">
        <v>286</v>
      </c>
      <c r="H8" t="s" s="240">
        <v>304</v>
      </c>
      <c r="I8" t="s" s="240">
        <v>304</v>
      </c>
      <c r="J8" t="s" s="240">
        <v>304</v>
      </c>
    </row>
    <row r="9" spans="1:10" x14ac:dyDescent="0.35">
      <c r="A9" s="247">
        <v>1</v>
      </c>
      <c r="B9" s="248">
        <f>'1'!F23</f>
      </c>
      <c r="C9" s="248">
        <f>'1'!L47</f>
      </c>
      <c r="D9" s="249">
        <f>'1'!P47</f>
      </c>
      <c r="E9" s="248">
        <f>'1'!K42</f>
      </c>
      <c r="F9" s="250">
        <f>SUM(C9+D9-E9)</f>
      </c>
      <c r="G9" s="248">
        <f>'1'!F24</f>
      </c>
      <c r="H9" s="248">
        <f>'1'!O42</f>
      </c>
      <c r="I9" s="250">
        <f>SUM(H9-F9)</f>
      </c>
      <c r="J9" s="250">
        <f>I9</f>
      </c>
    </row>
    <row r="10" spans="1:10" x14ac:dyDescent="0.35">
      <c r="A10" s="247">
        <v>2</v>
      </c>
      <c r="B10" s="248">
        <f>'2'!F23</f>
      </c>
      <c r="C10" s="250">
        <f>H9</f>
      </c>
      <c r="D10" s="249">
        <f>'2'!P47</f>
      </c>
      <c r="E10" s="248">
        <f>'2'!K42</f>
      </c>
      <c r="F10" s="250">
        <f t="shared" ref="F10:F39" si="0">SUM(C10+D10-E10)</f>
      </c>
      <c r="G10" s="248">
        <f>'2'!F24</f>
      </c>
      <c r="H10" s="248">
        <f>'2'!O42</f>
      </c>
      <c r="I10" s="250">
        <f t="shared" ref="I10:I39" si="1">SUM(H10-F10)</f>
      </c>
      <c r="J10" s="250">
        <f>I10+J9</f>
      </c>
    </row>
    <row r="11" spans="1:10" x14ac:dyDescent="0.35">
      <c r="A11" s="247">
        <v>3</v>
      </c>
      <c r="B11" s="248">
        <f>'3'!F23</f>
      </c>
      <c r="C11" s="250">
        <f t="shared" ref="C11:C39" si="2">H10</f>
      </c>
      <c r="D11" s="249">
        <f>'3'!P47</f>
      </c>
      <c r="E11" s="248">
        <f>'3'!K42</f>
      </c>
      <c r="F11" s="250">
        <f t="shared" si="0"/>
      </c>
      <c r="G11" s="248">
        <f>'3'!F24</f>
      </c>
      <c r="H11" s="248">
        <f>'3'!O42</f>
      </c>
      <c r="I11" s="250">
        <f t="shared" si="1"/>
      </c>
      <c r="J11" s="250">
        <f t="shared" ref="J11:J39" si="3">I11+J10</f>
      </c>
    </row>
    <row r="12" spans="1:10" x14ac:dyDescent="0.35">
      <c r="A12" s="251">
        <v>4</v>
      </c>
      <c r="B12" s="248">
        <f>'4'!F23</f>
      </c>
      <c r="C12" s="250">
        <f t="shared" si="2"/>
      </c>
      <c r="D12" s="249">
        <f>'4'!P47</f>
      </c>
      <c r="E12" s="248">
        <f>'4'!K42</f>
      </c>
      <c r="F12" s="250">
        <f t="shared" si="0"/>
      </c>
      <c r="G12" s="248">
        <f>'4'!F24</f>
      </c>
      <c r="H12" s="248">
        <f>'4'!O42</f>
      </c>
      <c r="I12" s="250">
        <f t="shared" si="1"/>
      </c>
      <c r="J12" s="250">
        <f t="shared" si="3"/>
      </c>
    </row>
    <row r="13" spans="1:10" x14ac:dyDescent="0.35">
      <c r="A13" s="247">
        <v>5</v>
      </c>
      <c r="B13" s="248">
        <f>'5'!F23</f>
      </c>
      <c r="C13" s="250">
        <f t="shared" si="2"/>
      </c>
      <c r="D13" s="249">
        <f>'5'!P47</f>
      </c>
      <c r="E13" s="248">
        <f>'5'!K42</f>
      </c>
      <c r="F13" s="250">
        <f t="shared" si="0"/>
      </c>
      <c r="G13" s="248">
        <f>'5'!F24</f>
      </c>
      <c r="H13" s="248">
        <f>'5'!O42</f>
      </c>
      <c r="I13" s="250">
        <f t="shared" si="1"/>
      </c>
      <c r="J13" s="250">
        <f t="shared" si="3"/>
      </c>
    </row>
    <row r="14" spans="1:10" x14ac:dyDescent="0.35">
      <c r="A14" s="247">
        <v>6</v>
      </c>
      <c r="B14" s="248">
        <f>'6'!F23</f>
      </c>
      <c r="C14" s="250">
        <f t="shared" si="2"/>
      </c>
      <c r="D14" s="249">
        <f>'6'!P47</f>
      </c>
      <c r="E14" s="248">
        <f>'6'!K42</f>
      </c>
      <c r="F14" s="250">
        <f t="shared" si="0"/>
      </c>
      <c r="G14" s="248">
        <f>'6'!F24</f>
      </c>
      <c r="H14" s="248">
        <f>'6'!O42</f>
      </c>
      <c r="I14" s="250">
        <f t="shared" si="1"/>
      </c>
      <c r="J14" s="250">
        <f t="shared" si="3"/>
      </c>
    </row>
    <row r="15" spans="1:10" x14ac:dyDescent="0.35">
      <c r="A15" s="251">
        <v>7</v>
      </c>
      <c r="B15" s="248">
        <f>'7'!F23</f>
      </c>
      <c r="C15" s="250">
        <f t="shared" si="2"/>
      </c>
      <c r="D15" s="249">
        <f>'7'!P47</f>
      </c>
      <c r="E15" s="248">
        <f>'7'!K42</f>
      </c>
      <c r="F15" s="250">
        <f t="shared" si="0"/>
      </c>
      <c r="G15" s="248">
        <f>'7'!F24</f>
      </c>
      <c r="H15" s="248">
        <f>'7'!O42</f>
      </c>
      <c r="I15" s="250">
        <f t="shared" si="1"/>
      </c>
      <c r="J15" s="250">
        <f t="shared" si="3"/>
      </c>
    </row>
    <row r="16" spans="1:10" x14ac:dyDescent="0.35">
      <c r="A16" s="247">
        <v>8</v>
      </c>
      <c r="B16" s="248">
        <f>'8'!F23</f>
      </c>
      <c r="C16" s="250">
        <f t="shared" si="2"/>
      </c>
      <c r="D16" s="249">
        <f>'8'!P47</f>
      </c>
      <c r="E16" s="248">
        <f>'8'!K42</f>
      </c>
      <c r="F16" s="250">
        <f t="shared" si="0"/>
      </c>
      <c r="G16" s="248">
        <f>'8'!F24</f>
      </c>
      <c r="H16" s="248">
        <f>'8'!O42</f>
      </c>
      <c r="I16" s="250">
        <f t="shared" si="1"/>
      </c>
      <c r="J16" s="250">
        <f t="shared" si="3"/>
      </c>
    </row>
    <row r="17" spans="1:10" x14ac:dyDescent="0.35">
      <c r="A17" s="247">
        <v>9</v>
      </c>
      <c r="B17" s="248">
        <f>'9'!F23</f>
      </c>
      <c r="C17" s="250">
        <f t="shared" si="2"/>
      </c>
      <c r="D17" s="249">
        <f>'9'!P47</f>
      </c>
      <c r="E17" s="248">
        <f>'9'!K42</f>
      </c>
      <c r="F17" s="250">
        <f t="shared" si="0"/>
      </c>
      <c r="G17" s="248">
        <f>'9'!F24</f>
      </c>
      <c r="H17" s="248">
        <f>'9'!O42</f>
      </c>
      <c r="I17" s="250">
        <f t="shared" si="1"/>
      </c>
      <c r="J17" s="250">
        <f t="shared" si="3"/>
      </c>
    </row>
    <row r="18" spans="1:10" x14ac:dyDescent="0.35">
      <c r="A18" s="251">
        <v>10</v>
      </c>
      <c r="B18" s="248">
        <f>'10'!F23</f>
      </c>
      <c r="C18" s="250">
        <f t="shared" si="2"/>
      </c>
      <c r="D18" s="249">
        <f>'10'!P47</f>
      </c>
      <c r="E18" s="248">
        <f>'10'!K42</f>
      </c>
      <c r="F18" s="250">
        <f t="shared" si="0"/>
      </c>
      <c r="G18" s="248">
        <f>'10'!F24</f>
      </c>
      <c r="H18" s="248">
        <f>'10'!O42</f>
      </c>
      <c r="I18" s="250">
        <f t="shared" si="1"/>
      </c>
      <c r="J18" s="250">
        <f t="shared" si="3"/>
      </c>
    </row>
    <row r="19" spans="1:10" x14ac:dyDescent="0.35">
      <c r="A19" s="247">
        <v>11</v>
      </c>
      <c r="B19" s="248">
        <f>'11'!F23</f>
      </c>
      <c r="C19" s="250">
        <f t="shared" si="2"/>
      </c>
      <c r="D19" s="249">
        <f>'11'!P47</f>
      </c>
      <c r="E19" s="248">
        <f>'11'!K42</f>
      </c>
      <c r="F19" s="250">
        <f t="shared" si="0"/>
      </c>
      <c r="G19" s="248">
        <f>'11'!F24</f>
      </c>
      <c r="H19" s="248">
        <f>'11'!O42</f>
      </c>
      <c r="I19" s="250">
        <f t="shared" si="1"/>
      </c>
      <c r="J19" s="250">
        <f t="shared" si="3"/>
      </c>
    </row>
    <row r="20" spans="1:10" x14ac:dyDescent="0.35">
      <c r="A20" s="247">
        <v>12</v>
      </c>
      <c r="B20" s="248">
        <f>'12'!F23</f>
      </c>
      <c r="C20" s="250">
        <f t="shared" si="2"/>
      </c>
      <c r="D20" s="249">
        <f>'12'!P47</f>
      </c>
      <c r="E20" s="248">
        <f>'12'!K42</f>
      </c>
      <c r="F20" s="250">
        <f t="shared" si="0"/>
      </c>
      <c r="G20" s="248">
        <f>'12'!F24</f>
      </c>
      <c r="H20" s="248">
        <f>'12'!O42</f>
      </c>
      <c r="I20" s="250">
        <f t="shared" si="1"/>
      </c>
      <c r="J20" s="250">
        <f t="shared" si="3"/>
      </c>
    </row>
    <row r="21" spans="1:10" x14ac:dyDescent="0.35">
      <c r="A21" s="251">
        <v>13</v>
      </c>
      <c r="B21" s="248">
        <f>'13'!F23</f>
      </c>
      <c r="C21" s="250">
        <f t="shared" si="2"/>
      </c>
      <c r="D21" s="249">
        <f>'13'!P47</f>
      </c>
      <c r="E21" s="248">
        <f>'13'!K42</f>
      </c>
      <c r="F21" s="250">
        <f t="shared" si="0"/>
      </c>
      <c r="G21" s="248">
        <f>'13'!F24</f>
      </c>
      <c r="H21" s="248">
        <f>'13'!O42</f>
      </c>
      <c r="I21" s="250">
        <f t="shared" si="1"/>
      </c>
      <c r="J21" s="250">
        <f t="shared" si="3"/>
      </c>
    </row>
    <row r="22" spans="1:10" x14ac:dyDescent="0.35">
      <c r="A22" s="247">
        <v>14</v>
      </c>
      <c r="B22" s="248">
        <f>'14'!F23</f>
      </c>
      <c r="C22" s="250">
        <f t="shared" si="2"/>
      </c>
      <c r="D22" s="249">
        <f>'14'!P47</f>
      </c>
      <c r="E22" s="248">
        <f>'14'!K42</f>
      </c>
      <c r="F22" s="250">
        <f t="shared" si="0"/>
      </c>
      <c r="G22" s="248">
        <f>'14'!F24</f>
      </c>
      <c r="H22" s="248">
        <f>'14'!O42</f>
      </c>
      <c r="I22" s="250">
        <f t="shared" si="1"/>
      </c>
      <c r="J22" s="250">
        <f t="shared" si="3"/>
      </c>
    </row>
    <row r="23" spans="1:10" x14ac:dyDescent="0.35">
      <c r="A23" s="247">
        <v>15</v>
      </c>
      <c r="B23" s="248">
        <f>'15'!F23</f>
      </c>
      <c r="C23" s="250">
        <f t="shared" si="2"/>
      </c>
      <c r="D23" s="249">
        <f>'15'!P47</f>
      </c>
      <c r="E23" s="248">
        <f>'15'!K42</f>
      </c>
      <c r="F23" s="250">
        <f t="shared" si="0"/>
      </c>
      <c r="G23" s="248">
        <f>'15'!F24</f>
      </c>
      <c r="H23" s="248">
        <f>'15'!O42</f>
      </c>
      <c r="I23" s="250">
        <f t="shared" si="1"/>
      </c>
      <c r="J23" s="250">
        <f t="shared" si="3"/>
      </c>
    </row>
    <row r="24" spans="1:10" x14ac:dyDescent="0.35">
      <c r="A24" s="251">
        <v>16</v>
      </c>
      <c r="B24" s="248">
        <f>'16'!F23</f>
      </c>
      <c r="C24" s="250">
        <f t="shared" si="2"/>
      </c>
      <c r="D24" s="249">
        <f>'16'!P47</f>
      </c>
      <c r="E24" s="248">
        <f>'16'!K42</f>
      </c>
      <c r="F24" s="250">
        <f t="shared" si="0"/>
      </c>
      <c r="G24" s="248">
        <f>'16'!F24</f>
      </c>
      <c r="H24" s="248">
        <f>'16'!O42</f>
      </c>
      <c r="I24" s="250">
        <f t="shared" si="1"/>
      </c>
      <c r="J24" s="250">
        <f t="shared" si="3"/>
      </c>
    </row>
    <row r="25" spans="1:10" x14ac:dyDescent="0.35">
      <c r="A25" s="247">
        <v>17</v>
      </c>
      <c r="B25" s="248">
        <f>'17'!F23</f>
      </c>
      <c r="C25" s="250">
        <f t="shared" si="2"/>
      </c>
      <c r="D25" s="249">
        <f>'17'!P47</f>
      </c>
      <c r="E25" s="248">
        <f>'17'!K42</f>
      </c>
      <c r="F25" s="250">
        <f t="shared" si="0"/>
      </c>
      <c r="G25" s="248">
        <f>'17'!F24</f>
      </c>
      <c r="H25" s="248">
        <f>'17'!O42</f>
      </c>
      <c r="I25" s="250">
        <f t="shared" si="1"/>
      </c>
      <c r="J25" s="250">
        <f t="shared" si="3"/>
      </c>
    </row>
    <row r="26" spans="1:10" x14ac:dyDescent="0.35">
      <c r="A26" s="247">
        <v>18</v>
      </c>
      <c r="B26" s="248">
        <f>'18'!F23</f>
      </c>
      <c r="C26" s="250">
        <f t="shared" si="2"/>
      </c>
      <c r="D26" s="249">
        <f>'18'!P47</f>
      </c>
      <c r="E26" s="248">
        <f>'18'!K42</f>
      </c>
      <c r="F26" s="250">
        <f t="shared" si="0"/>
      </c>
      <c r="G26" s="248">
        <f>'18'!F24</f>
      </c>
      <c r="H26" s="248">
        <f>'18'!O42</f>
      </c>
      <c r="I26" s="250">
        <f t="shared" si="1"/>
      </c>
      <c r="J26" s="250">
        <f t="shared" si="3"/>
      </c>
    </row>
    <row r="27" spans="1:10" x14ac:dyDescent="0.35">
      <c r="A27" s="251">
        <v>19</v>
      </c>
      <c r="B27" s="248">
        <f>'19'!F23</f>
      </c>
      <c r="C27" s="250">
        <f t="shared" si="2"/>
      </c>
      <c r="D27" s="249">
        <f>'19'!P47</f>
      </c>
      <c r="E27" s="248">
        <f>'19'!K42</f>
      </c>
      <c r="F27" s="250">
        <f t="shared" si="0"/>
      </c>
      <c r="G27" s="248">
        <f>'19'!F24</f>
      </c>
      <c r="H27" s="248">
        <f>'19'!O42</f>
      </c>
      <c r="I27" s="250">
        <f t="shared" si="1"/>
      </c>
      <c r="J27" s="250">
        <f t="shared" si="3"/>
      </c>
    </row>
    <row r="28" spans="1:10" x14ac:dyDescent="0.35">
      <c r="A28" s="247">
        <v>20</v>
      </c>
      <c r="B28" s="248">
        <f>'20'!F23</f>
      </c>
      <c r="C28" s="250">
        <f t="shared" si="2"/>
      </c>
      <c r="D28" s="249">
        <f>'20'!P47</f>
      </c>
      <c r="E28" s="248">
        <f>'20'!K42</f>
      </c>
      <c r="F28" s="250">
        <f t="shared" si="0"/>
      </c>
      <c r="G28" s="248">
        <f>'20'!F24</f>
      </c>
      <c r="H28" s="248">
        <f>'20'!O42</f>
      </c>
      <c r="I28" s="250">
        <f t="shared" si="1"/>
      </c>
      <c r="J28" s="250">
        <f t="shared" si="3"/>
      </c>
    </row>
    <row r="29" spans="1:10" x14ac:dyDescent="0.35">
      <c r="A29" s="247">
        <v>21</v>
      </c>
      <c r="B29" s="248">
        <f>'21'!F23</f>
      </c>
      <c r="C29" s="250">
        <f t="shared" si="2"/>
      </c>
      <c r="D29" s="249">
        <f>'21'!P47</f>
      </c>
      <c r="E29" s="248">
        <f>'21'!K42</f>
      </c>
      <c r="F29" s="250">
        <f t="shared" si="0"/>
      </c>
      <c r="G29" s="248">
        <f>'21'!F24</f>
      </c>
      <c r="H29" s="248">
        <f>'21'!O42</f>
      </c>
      <c r="I29" s="250">
        <f t="shared" si="1"/>
      </c>
      <c r="J29" s="250">
        <f t="shared" si="3"/>
      </c>
    </row>
    <row r="30" spans="1:10" x14ac:dyDescent="0.35">
      <c r="A30" s="251">
        <v>22</v>
      </c>
      <c r="B30" s="248">
        <f>'22'!F23</f>
      </c>
      <c r="C30" s="250">
        <f t="shared" si="2"/>
      </c>
      <c r="D30" s="249">
        <f>'22'!P47</f>
      </c>
      <c r="E30" s="248">
        <f>'22'!K42</f>
      </c>
      <c r="F30" s="250">
        <f t="shared" si="0"/>
      </c>
      <c r="G30" s="248">
        <f>'22'!F24</f>
      </c>
      <c r="H30" s="248">
        <f>'22'!O42</f>
      </c>
      <c r="I30" s="250">
        <f t="shared" si="1"/>
      </c>
      <c r="J30" s="250">
        <f t="shared" si="3"/>
      </c>
    </row>
    <row r="31" spans="1:10" x14ac:dyDescent="0.35">
      <c r="A31" s="247">
        <v>23</v>
      </c>
      <c r="B31" s="248">
        <f>'23'!F23</f>
      </c>
      <c r="C31" s="250">
        <f t="shared" si="2"/>
      </c>
      <c r="D31" s="249">
        <f>'23'!P47</f>
      </c>
      <c r="E31" s="248">
        <f>'23'!K42</f>
      </c>
      <c r="F31" s="250">
        <f t="shared" si="0"/>
      </c>
      <c r="G31" s="248">
        <f>'23'!F24</f>
      </c>
      <c r="H31" s="248">
        <f>'23'!O42</f>
      </c>
      <c r="I31" s="250">
        <f t="shared" si="1"/>
      </c>
      <c r="J31" s="250">
        <f t="shared" si="3"/>
      </c>
    </row>
    <row r="32" spans="1:10" x14ac:dyDescent="0.35">
      <c r="A32" s="247">
        <v>24</v>
      </c>
      <c r="B32" s="248">
        <f>'24'!F23</f>
      </c>
      <c r="C32" s="250">
        <f t="shared" si="2"/>
      </c>
      <c r="D32" s="249">
        <f>'24'!P47</f>
      </c>
      <c r="E32" s="248">
        <f>'24'!K42</f>
      </c>
      <c r="F32" s="250">
        <f t="shared" si="0"/>
      </c>
      <c r="G32" s="248">
        <f>'24'!F24</f>
      </c>
      <c r="H32" s="248">
        <f>'24'!O42</f>
      </c>
      <c r="I32" s="250">
        <f t="shared" si="1"/>
      </c>
      <c r="J32" s="250">
        <f t="shared" si="3"/>
      </c>
    </row>
    <row r="33" spans="1:10" x14ac:dyDescent="0.35">
      <c r="A33" s="251">
        <v>25</v>
      </c>
      <c r="B33" s="248">
        <f>'25'!F23</f>
      </c>
      <c r="C33" s="250">
        <f t="shared" si="2"/>
      </c>
      <c r="D33" s="249">
        <f>'25'!P47</f>
      </c>
      <c r="E33" s="248">
        <f>'25'!K42</f>
      </c>
      <c r="F33" s="250">
        <f t="shared" si="0"/>
      </c>
      <c r="G33" s="248">
        <f>'25'!F24</f>
      </c>
      <c r="H33" s="248">
        <f>'25'!O42</f>
      </c>
      <c r="I33" s="250">
        <f t="shared" si="1"/>
      </c>
      <c r="J33" s="250">
        <f t="shared" si="3"/>
      </c>
    </row>
    <row r="34" spans="1:10" x14ac:dyDescent="0.35">
      <c r="A34" s="247">
        <v>26</v>
      </c>
      <c r="B34" s="248">
        <f>'26'!F23</f>
      </c>
      <c r="C34" s="250">
        <f t="shared" si="2"/>
      </c>
      <c r="D34" s="249">
        <f>'26'!P47</f>
      </c>
      <c r="E34" s="248">
        <f>'26'!K42</f>
      </c>
      <c r="F34" s="250">
        <f t="shared" si="0"/>
      </c>
      <c r="G34" s="248">
        <f>'26'!F24</f>
      </c>
      <c r="H34" s="248">
        <f>'26'!O42</f>
      </c>
      <c r="I34" s="250">
        <f t="shared" si="1"/>
      </c>
      <c r="J34" s="250">
        <f t="shared" si="3"/>
      </c>
    </row>
    <row r="35" spans="1:10" x14ac:dyDescent="0.35">
      <c r="A35" s="247">
        <v>27</v>
      </c>
      <c r="B35" s="248">
        <f>'27'!F23</f>
      </c>
      <c r="C35" s="250">
        <f t="shared" si="2"/>
      </c>
      <c r="D35" s="249">
        <f>'27'!P47</f>
      </c>
      <c r="E35" s="248">
        <f>'27'!K42</f>
      </c>
      <c r="F35" s="250">
        <f t="shared" si="0"/>
      </c>
      <c r="G35" s="248">
        <f>'27'!F24</f>
      </c>
      <c r="H35" s="248">
        <f>'27'!O42</f>
      </c>
      <c r="I35" s="250">
        <f t="shared" si="1"/>
      </c>
      <c r="J35" s="250">
        <f t="shared" si="3"/>
      </c>
    </row>
    <row r="36" spans="1:10" x14ac:dyDescent="0.35">
      <c r="A36" s="251">
        <v>28</v>
      </c>
      <c r="B36" s="248">
        <f>'28'!F23</f>
      </c>
      <c r="C36" s="250">
        <f t="shared" si="2"/>
      </c>
      <c r="D36" s="249">
        <f>'28'!P47</f>
      </c>
      <c r="E36" s="248">
        <f>'28'!K42</f>
      </c>
      <c r="F36" s="250">
        <f t="shared" si="0"/>
      </c>
      <c r="G36" s="248">
        <f>'28'!F24</f>
      </c>
      <c r="H36" s="248">
        <f>'28'!O42</f>
      </c>
      <c r="I36" s="250">
        <f t="shared" si="1"/>
      </c>
      <c r="J36" s="250">
        <f t="shared" si="3"/>
      </c>
    </row>
    <row r="37" spans="1:10" x14ac:dyDescent="0.35">
      <c r="A37" s="247">
        <v>29</v>
      </c>
      <c r="B37" s="248">
        <f>'29'!F23</f>
      </c>
      <c r="C37" s="250">
        <f t="shared" si="2"/>
      </c>
      <c r="D37" s="249">
        <f>'29'!P47</f>
      </c>
      <c r="E37" s="248">
        <f>'29'!K42</f>
      </c>
      <c r="F37" s="250">
        <f t="shared" si="0"/>
      </c>
      <c r="G37" s="248">
        <f>'29'!F24</f>
      </c>
      <c r="H37" s="248">
        <f>'29'!O42</f>
      </c>
      <c r="I37" s="250">
        <f t="shared" si="1"/>
      </c>
      <c r="J37" s="250">
        <f t="shared" si="3"/>
      </c>
    </row>
    <row r="38" spans="1:10" x14ac:dyDescent="0.35">
      <c r="A38" s="247">
        <v>30</v>
      </c>
      <c r="B38" s="248">
        <f>'30'!F23</f>
      </c>
      <c r="C38" s="250">
        <f t="shared" si="2"/>
      </c>
      <c r="D38" s="249">
        <f>'30'!P47</f>
      </c>
      <c r="E38" s="248">
        <f>'30'!K42</f>
      </c>
      <c r="F38" s="250">
        <f t="shared" si="0"/>
      </c>
      <c r="G38" s="248">
        <f>'30'!F24</f>
      </c>
      <c r="H38" s="248">
        <f>'30'!O42</f>
      </c>
      <c r="I38" s="250">
        <f t="shared" si="1"/>
      </c>
      <c r="J38" s="250">
        <f t="shared" si="3"/>
      </c>
    </row>
    <row r="39" spans="1:10" x14ac:dyDescent="0.35">
      <c r="A39" s="251">
        <v>31</v>
      </c>
      <c r="B39" s="248">
        <f>'31'!F23</f>
      </c>
      <c r="C39" s="250">
        <f t="shared" si="2"/>
      </c>
      <c r="D39" s="249">
        <f>'31'!P47</f>
      </c>
      <c r="E39" s="248">
        <f>'31'!K42</f>
      </c>
      <c r="F39" s="250">
        <f t="shared" si="0"/>
      </c>
      <c r="G39" s="248">
        <f>'31'!F24</f>
      </c>
      <c r="H39" s="248">
        <f>'31'!O42</f>
      </c>
      <c r="I39" s="250">
        <f t="shared" si="1"/>
      </c>
      <c r="J39" s="250">
        <f t="shared" si="3"/>
      </c>
    </row>
    <row r="41" spans="1:10" ht="15.5" x14ac:dyDescent="0.35">
      <c r="A41" t="s" s="404">
        <v>305</v>
      </c>
      <c r="B41" s="405"/>
      <c r="C41" s="252">
        <f>SUM(E9:E39)</f>
      </c>
      <c r="H41" t="s" s="404">
        <v>306</v>
      </c>
      <c r="I41" s="404"/>
      <c r="J41" s="252">
        <f>SUM(I9:I39)</f>
      </c>
    </row>
    <row r="42" spans="1:10" x14ac:dyDescent="0.35">
      <c r="A42" s="45"/>
      <c r="B42" s="45"/>
    </row>
    <row r="43" spans="1:10" ht="15.5" x14ac:dyDescent="0.35">
      <c r="A43" t="s" s="404">
        <v>307</v>
      </c>
      <c r="B43" s="405"/>
      <c r="C43" s="253">
        <f>SUM(C41*0.01)+(130)</f>
      </c>
      <c r="E43" t="s" s="353">
        <v>308</v>
      </c>
      <c r="F43" s="353"/>
      <c r="G43" s="231">
        <v>0</v>
      </c>
      <c r="I43" t="s" s="58">
        <v>309</v>
      </c>
      <c r="J43" s="254">
        <f>IF((SQRT(SUM(I9:I39)*SUM(I9:I39)))&gt;C43,"FAIL","PASS")</f>
      </c>
    </row>
    <row r="45" spans="1:10" x14ac:dyDescent="0.35">
      <c r="A45" t="s" s="406">
        <v>310</v>
      </c>
      <c r="B45" s="407"/>
      <c r="C45" s="407"/>
      <c r="D45" s="407"/>
      <c r="E45" s="407"/>
      <c r="F45" s="407"/>
      <c r="G45" s="407"/>
      <c r="H45" s="407"/>
      <c r="I45" s="407"/>
      <c r="J45" s="408"/>
    </row>
    <row r="46" spans="1:10" x14ac:dyDescent="0.35">
      <c r="A46" s="255"/>
      <c r="B46" s="255"/>
      <c r="C46" s="255"/>
      <c r="D46" s="255"/>
      <c r="E46" s="255"/>
      <c r="F46" s="255"/>
      <c r="G46" s="255"/>
      <c r="H46" s="255"/>
      <c r="I46" s="255"/>
      <c r="J46" s="255"/>
    </row>
    <row r="47" spans="1:10" ht="15.5" x14ac:dyDescent="0.35">
      <c r="A47" t="s" s="410">
        <v>288</v>
      </c>
      <c r="B47" s="410"/>
      <c r="C47" s="410"/>
      <c r="D47" s="410"/>
      <c r="E47" s="410"/>
      <c r="F47" s="410"/>
      <c r="G47" s="410"/>
      <c r="H47" s="410"/>
      <c r="I47" s="410"/>
      <c r="J47" s="410"/>
    </row>
    <row r="49" spans="1:10" x14ac:dyDescent="0.35">
      <c r="A49" t="s" s="411">
        <v>289</v>
      </c>
      <c r="B49" s="411"/>
      <c r="C49" s="412">
        <f>C3</f>
      </c>
      <c r="D49" s="412"/>
      <c r="E49" s="412"/>
      <c r="F49" s="412"/>
      <c r="H49" t="s" s="242">
        <v>291</v>
      </c>
      <c r="I49" s="243">
        <f>I3</f>
      </c>
      <c r="J49" s="244">
        <f>J3</f>
      </c>
    </row>
    <row r="51" spans="1:10" x14ac:dyDescent="0.35">
      <c r="A51" t="s" s="411">
        <v>293</v>
      </c>
      <c r="B51" s="411"/>
      <c r="C51" s="244">
        <f>C5</f>
      </c>
      <c r="E51" t="s" s="242">
        <v>294</v>
      </c>
      <c r="F51" s="245">
        <v>4000</v>
      </c>
      <c r="I51" t="s" s="242">
        <v>295</v>
      </c>
      <c r="J51" t="s" s="244">
        <v>136</v>
      </c>
    </row>
    <row r="53" spans="1:10" ht="52" x14ac:dyDescent="0.35">
      <c r="A53" t="s" s="409">
        <v>296</v>
      </c>
      <c r="B53" t="s" s="409">
        <v>297</v>
      </c>
      <c r="C53" s="409"/>
      <c r="D53" t="s" s="246">
        <v>298</v>
      </c>
      <c r="E53" t="s" s="246">
        <v>299</v>
      </c>
      <c r="F53" t="s" s="246">
        <v>300</v>
      </c>
      <c r="G53" t="s" s="409">
        <v>301</v>
      </c>
      <c r="H53" s="409"/>
      <c r="I53" t="s" s="246">
        <v>302</v>
      </c>
      <c r="J53" t="s" s="246">
        <v>303</v>
      </c>
    </row>
    <row r="54" spans="1:10" x14ac:dyDescent="0.35">
      <c r="A54" s="409"/>
      <c r="B54" t="s" s="240">
        <v>286</v>
      </c>
      <c r="C54" t="s" s="240">
        <v>304</v>
      </c>
      <c r="D54" t="s" s="240">
        <v>304</v>
      </c>
      <c r="E54" t="s" s="240">
        <v>304</v>
      </c>
      <c r="F54" t="s" s="240">
        <v>304</v>
      </c>
      <c r="G54" t="s" s="240">
        <v>286</v>
      </c>
      <c r="H54" t="s" s="240">
        <v>304</v>
      </c>
      <c r="I54" t="s" s="240">
        <v>304</v>
      </c>
      <c r="J54" t="s" s="240">
        <v>304</v>
      </c>
    </row>
    <row r="55" spans="1:10" x14ac:dyDescent="0.35">
      <c r="A55" s="247">
        <v>1</v>
      </c>
      <c r="B55" s="248">
        <f>'1'!G23</f>
      </c>
      <c r="C55" s="248">
        <f>'1'!L48</f>
      </c>
      <c r="D55" s="249">
        <f>'1'!P48</f>
      </c>
      <c r="E55" s="248">
        <f>'1'!K43</f>
      </c>
      <c r="F55" s="250">
        <f>SUM(C55+D55-E55)</f>
      </c>
      <c r="G55" s="248">
        <f>'1'!G24</f>
      </c>
      <c r="H55" s="248">
        <f>'1'!O43</f>
      </c>
      <c r="I55" s="250">
        <f>SUM(H55-F55)</f>
      </c>
      <c r="J55" s="250">
        <f>I55</f>
      </c>
    </row>
    <row r="56" spans="1:10" x14ac:dyDescent="0.35">
      <c r="A56" s="247">
        <v>2</v>
      </c>
      <c r="B56" s="248">
        <f>'2'!G23</f>
      </c>
      <c r="C56" s="250">
        <f>H55</f>
      </c>
      <c r="D56" s="249">
        <f>'2'!P48</f>
      </c>
      <c r="E56" s="248">
        <f>'2'!K43</f>
      </c>
      <c r="F56" s="250">
        <f t="shared" ref="F56:F85" si="4">SUM(C56+D56-E56)</f>
      </c>
      <c r="G56" s="248">
        <f>'2'!G24</f>
      </c>
      <c r="H56" s="248">
        <f>'2'!O43</f>
      </c>
      <c r="I56" s="250">
        <f t="shared" ref="I56:I85" si="5">SUM(H56-F56)</f>
      </c>
      <c r="J56" s="250">
        <f>I56+J55</f>
      </c>
    </row>
    <row r="57" spans="1:10" x14ac:dyDescent="0.35">
      <c r="A57" s="247">
        <v>3</v>
      </c>
      <c r="B57" s="248">
        <f>'3'!G23</f>
      </c>
      <c r="C57" s="250">
        <f t="shared" ref="C57:C85" si="6">H56</f>
      </c>
      <c r="D57" s="249">
        <f>'3'!P48</f>
      </c>
      <c r="E57" s="248">
        <f>'3'!K43</f>
      </c>
      <c r="F57" s="250">
        <f t="shared" si="4"/>
      </c>
      <c r="G57" s="248">
        <f>'3'!G24</f>
      </c>
      <c r="H57" s="248">
        <f>'3'!O43</f>
      </c>
      <c r="I57" s="250">
        <f t="shared" si="5"/>
      </c>
      <c r="J57" s="250">
        <f t="shared" ref="J57:J85" si="7">I57+J56</f>
      </c>
    </row>
    <row r="58" spans="1:10" x14ac:dyDescent="0.35">
      <c r="A58" s="251">
        <v>4</v>
      </c>
      <c r="B58" s="248">
        <f>'4'!G23</f>
      </c>
      <c r="C58" s="250">
        <f t="shared" si="6"/>
      </c>
      <c r="D58" s="249">
        <f>'4'!P48</f>
      </c>
      <c r="E58" s="248">
        <f>'4'!K43</f>
      </c>
      <c r="F58" s="250">
        <f t="shared" si="4"/>
      </c>
      <c r="G58" s="248">
        <f>'4'!G24</f>
      </c>
      <c r="H58" s="248">
        <f>'4'!O43</f>
      </c>
      <c r="I58" s="250">
        <f t="shared" si="5"/>
      </c>
      <c r="J58" s="250">
        <f t="shared" si="7"/>
      </c>
    </row>
    <row r="59" spans="1:10" x14ac:dyDescent="0.35">
      <c r="A59" s="247">
        <v>5</v>
      </c>
      <c r="B59" s="248">
        <f>'5'!G23</f>
      </c>
      <c r="C59" s="250">
        <f t="shared" si="6"/>
      </c>
      <c r="D59" s="249">
        <f>'5'!P48</f>
      </c>
      <c r="E59" s="248">
        <f>'5'!K43</f>
      </c>
      <c r="F59" s="250">
        <f t="shared" si="4"/>
      </c>
      <c r="G59" s="248">
        <f>'5'!G24</f>
      </c>
      <c r="H59" s="248">
        <f>'5'!O43</f>
      </c>
      <c r="I59" s="250">
        <f t="shared" si="5"/>
      </c>
      <c r="J59" s="250">
        <f t="shared" si="7"/>
      </c>
    </row>
    <row r="60" spans="1:10" x14ac:dyDescent="0.35">
      <c r="A60" s="247">
        <v>6</v>
      </c>
      <c r="B60" s="248">
        <f>'6'!G23</f>
      </c>
      <c r="C60" s="250">
        <f t="shared" si="6"/>
      </c>
      <c r="D60" s="249">
        <f>'6'!P48</f>
      </c>
      <c r="E60" s="248">
        <f>'6'!K43</f>
      </c>
      <c r="F60" s="250">
        <f t="shared" si="4"/>
      </c>
      <c r="G60" s="248">
        <f>'6'!G24</f>
      </c>
      <c r="H60" s="248">
        <f>'6'!O43</f>
      </c>
      <c r="I60" s="250">
        <f t="shared" si="5"/>
      </c>
      <c r="J60" s="250">
        <f t="shared" si="7"/>
      </c>
    </row>
    <row r="61" spans="1:10" x14ac:dyDescent="0.35">
      <c r="A61" s="251">
        <v>7</v>
      </c>
      <c r="B61" s="248">
        <f>'7'!G23</f>
      </c>
      <c r="C61" s="250">
        <f t="shared" si="6"/>
      </c>
      <c r="D61" s="249">
        <f>'7'!P48</f>
      </c>
      <c r="E61" s="248">
        <f>'7'!K43</f>
      </c>
      <c r="F61" s="250">
        <f t="shared" si="4"/>
      </c>
      <c r="G61" s="248">
        <f>'7'!G24</f>
      </c>
      <c r="H61" s="248">
        <f>'7'!O43</f>
      </c>
      <c r="I61" s="250">
        <f t="shared" si="5"/>
      </c>
      <c r="J61" s="250">
        <f t="shared" si="7"/>
      </c>
    </row>
    <row r="62" spans="1:10" x14ac:dyDescent="0.35">
      <c r="A62" s="247">
        <v>8</v>
      </c>
      <c r="B62" s="248">
        <f>'8'!G23</f>
      </c>
      <c r="C62" s="250">
        <f t="shared" si="6"/>
      </c>
      <c r="D62" s="249">
        <f>'8'!P48</f>
      </c>
      <c r="E62" s="248">
        <f>'8'!K43</f>
      </c>
      <c r="F62" s="250">
        <f t="shared" si="4"/>
      </c>
      <c r="G62" s="248">
        <f>'8'!G24</f>
      </c>
      <c r="H62" s="248">
        <f>'8'!O43</f>
      </c>
      <c r="I62" s="250">
        <f t="shared" si="5"/>
      </c>
      <c r="J62" s="250">
        <f t="shared" si="7"/>
      </c>
    </row>
    <row r="63" spans="1:10" x14ac:dyDescent="0.35">
      <c r="A63" s="247">
        <v>9</v>
      </c>
      <c r="B63" s="248">
        <f>'9'!G23</f>
      </c>
      <c r="C63" s="250">
        <f t="shared" si="6"/>
      </c>
      <c r="D63" s="249">
        <f>'9'!P48</f>
      </c>
      <c r="E63" s="248">
        <f>'9'!K43</f>
      </c>
      <c r="F63" s="250">
        <f t="shared" si="4"/>
      </c>
      <c r="G63" s="248">
        <f>'9'!G24</f>
      </c>
      <c r="H63" s="248">
        <f>'9'!O43</f>
      </c>
      <c r="I63" s="250">
        <f t="shared" si="5"/>
      </c>
      <c r="J63" s="250">
        <f t="shared" si="7"/>
      </c>
    </row>
    <row r="64" spans="1:10" x14ac:dyDescent="0.35">
      <c r="A64" s="251">
        <v>10</v>
      </c>
      <c r="B64" s="248">
        <f>'10'!G23</f>
      </c>
      <c r="C64" s="250">
        <f t="shared" si="6"/>
      </c>
      <c r="D64" s="249">
        <f>'10'!P48</f>
      </c>
      <c r="E64" s="248">
        <f>'10'!K43</f>
      </c>
      <c r="F64" s="250">
        <f t="shared" si="4"/>
      </c>
      <c r="G64" s="248">
        <f>'10'!G24</f>
      </c>
      <c r="H64" s="248">
        <f>'10'!O43</f>
      </c>
      <c r="I64" s="250">
        <f t="shared" si="5"/>
      </c>
      <c r="J64" s="250">
        <f t="shared" si="7"/>
      </c>
    </row>
    <row r="65" spans="1:10" x14ac:dyDescent="0.35">
      <c r="A65" s="247">
        <v>11</v>
      </c>
      <c r="B65" s="248">
        <f>'11'!G23</f>
      </c>
      <c r="C65" s="250">
        <f t="shared" si="6"/>
      </c>
      <c r="D65" s="249">
        <f>'11'!P48</f>
      </c>
      <c r="E65" s="248">
        <f>'11'!K43</f>
      </c>
      <c r="F65" s="250">
        <f t="shared" si="4"/>
      </c>
      <c r="G65" s="248">
        <f>'11'!G24</f>
      </c>
      <c r="H65" s="248">
        <f>'11'!O43</f>
      </c>
      <c r="I65" s="250">
        <f t="shared" si="5"/>
      </c>
      <c r="J65" s="250">
        <f t="shared" si="7"/>
      </c>
    </row>
    <row r="66" spans="1:10" x14ac:dyDescent="0.35">
      <c r="A66" s="247">
        <v>12</v>
      </c>
      <c r="B66" s="248">
        <f>'12'!G23</f>
      </c>
      <c r="C66" s="250">
        <f t="shared" si="6"/>
      </c>
      <c r="D66" s="249">
        <f>'12'!P48</f>
      </c>
      <c r="E66" s="248">
        <f>'12'!K43</f>
      </c>
      <c r="F66" s="250">
        <f t="shared" si="4"/>
      </c>
      <c r="G66" s="248">
        <f>'12'!G24</f>
      </c>
      <c r="H66" s="248">
        <f>'12'!O43</f>
      </c>
      <c r="I66" s="250">
        <f t="shared" si="5"/>
      </c>
      <c r="J66" s="250">
        <f t="shared" si="7"/>
      </c>
    </row>
    <row r="67" spans="1:10" x14ac:dyDescent="0.35">
      <c r="A67" s="251">
        <v>13</v>
      </c>
      <c r="B67" s="248">
        <f>'13'!G23</f>
      </c>
      <c r="C67" s="250">
        <f t="shared" si="6"/>
      </c>
      <c r="D67" s="249">
        <f>'13'!P48</f>
      </c>
      <c r="E67" s="248">
        <f>'13'!K43</f>
      </c>
      <c r="F67" s="250">
        <f t="shared" si="4"/>
      </c>
      <c r="G67" s="248">
        <f>'13'!G24</f>
      </c>
      <c r="H67" s="248">
        <f>'13'!O43</f>
      </c>
      <c r="I67" s="250">
        <f t="shared" si="5"/>
      </c>
      <c r="J67" s="250">
        <f t="shared" si="7"/>
      </c>
    </row>
    <row r="68" spans="1:10" x14ac:dyDescent="0.35">
      <c r="A68" s="247">
        <v>14</v>
      </c>
      <c r="B68" s="248">
        <f>'14'!G23</f>
      </c>
      <c r="C68" s="250">
        <f t="shared" si="6"/>
      </c>
      <c r="D68" s="249">
        <f>'14'!P48</f>
      </c>
      <c r="E68" s="248">
        <f>'14'!K43</f>
      </c>
      <c r="F68" s="250">
        <f t="shared" si="4"/>
      </c>
      <c r="G68" s="248">
        <f>'14'!G24</f>
      </c>
      <c r="H68" s="248">
        <f>'14'!O43</f>
      </c>
      <c r="I68" s="250">
        <f t="shared" si="5"/>
      </c>
      <c r="J68" s="250">
        <f t="shared" si="7"/>
      </c>
    </row>
    <row r="69" spans="1:10" x14ac:dyDescent="0.35">
      <c r="A69" s="247">
        <v>15</v>
      </c>
      <c r="B69" s="248">
        <f>'15'!G23</f>
      </c>
      <c r="C69" s="250">
        <f t="shared" si="6"/>
      </c>
      <c r="D69" s="249">
        <f>'15'!P48</f>
      </c>
      <c r="E69" s="248">
        <f>'15'!K43</f>
      </c>
      <c r="F69" s="250">
        <f t="shared" si="4"/>
      </c>
      <c r="G69" s="248">
        <f>'15'!G24</f>
      </c>
      <c r="H69" s="248">
        <f>'15'!O43</f>
      </c>
      <c r="I69" s="250">
        <f t="shared" si="5"/>
      </c>
      <c r="J69" s="250">
        <f t="shared" si="7"/>
      </c>
    </row>
    <row r="70" spans="1:10" x14ac:dyDescent="0.35">
      <c r="A70" s="251">
        <v>16</v>
      </c>
      <c r="B70" s="248">
        <f>'16'!G23</f>
      </c>
      <c r="C70" s="250">
        <f t="shared" si="6"/>
      </c>
      <c r="D70" s="249">
        <f>'16'!P48</f>
      </c>
      <c r="E70" s="248">
        <f>'16'!K43</f>
      </c>
      <c r="F70" s="250">
        <f t="shared" si="4"/>
      </c>
      <c r="G70" s="248">
        <f>'16'!G24</f>
      </c>
      <c r="H70" s="248">
        <f>'16'!O43</f>
      </c>
      <c r="I70" s="250">
        <f t="shared" si="5"/>
      </c>
      <c r="J70" s="250">
        <f t="shared" si="7"/>
      </c>
    </row>
    <row r="71" spans="1:10" x14ac:dyDescent="0.35">
      <c r="A71" s="247">
        <v>17</v>
      </c>
      <c r="B71" s="248">
        <f>'17'!G23</f>
      </c>
      <c r="C71" s="250">
        <f t="shared" si="6"/>
      </c>
      <c r="D71" s="249">
        <f>'17'!P48</f>
      </c>
      <c r="E71" s="248">
        <f>'17'!K43</f>
      </c>
      <c r="F71" s="250">
        <f t="shared" si="4"/>
      </c>
      <c r="G71" s="248">
        <f>'17'!G24</f>
      </c>
      <c r="H71" s="248">
        <f>'17'!O43</f>
      </c>
      <c r="I71" s="250">
        <f t="shared" si="5"/>
      </c>
      <c r="J71" s="250">
        <f t="shared" si="7"/>
      </c>
    </row>
    <row r="72" spans="1:10" x14ac:dyDescent="0.35">
      <c r="A72" s="247">
        <v>18</v>
      </c>
      <c r="B72" s="248">
        <f>'18'!G23</f>
      </c>
      <c r="C72" s="250">
        <f t="shared" si="6"/>
      </c>
      <c r="D72" s="249">
        <f>'18'!P48</f>
      </c>
      <c r="E72" s="248">
        <f>'18'!K43</f>
      </c>
      <c r="F72" s="250">
        <f t="shared" si="4"/>
      </c>
      <c r="G72" s="248">
        <f>'18'!G24</f>
      </c>
      <c r="H72" s="248">
        <f>'18'!O43</f>
      </c>
      <c r="I72" s="250">
        <f t="shared" si="5"/>
      </c>
      <c r="J72" s="250">
        <f t="shared" si="7"/>
      </c>
    </row>
    <row r="73" spans="1:10" x14ac:dyDescent="0.35">
      <c r="A73" s="251">
        <v>19</v>
      </c>
      <c r="B73" s="248">
        <f>'19'!G23</f>
      </c>
      <c r="C73" s="250">
        <f t="shared" si="6"/>
      </c>
      <c r="D73" s="249">
        <f>'19'!P48</f>
      </c>
      <c r="E73" s="248">
        <f>'19'!K43</f>
      </c>
      <c r="F73" s="250">
        <f t="shared" si="4"/>
      </c>
      <c r="G73" s="248">
        <f>'19'!G24</f>
      </c>
      <c r="H73" s="248">
        <f>'19'!O43</f>
      </c>
      <c r="I73" s="250">
        <f t="shared" si="5"/>
      </c>
      <c r="J73" s="250">
        <f t="shared" si="7"/>
      </c>
    </row>
    <row r="74" spans="1:10" x14ac:dyDescent="0.35">
      <c r="A74" s="247">
        <v>20</v>
      </c>
      <c r="B74" s="248">
        <f>'20'!G23</f>
      </c>
      <c r="C74" s="250">
        <f t="shared" si="6"/>
      </c>
      <c r="D74" s="249">
        <f>'20'!P48</f>
      </c>
      <c r="E74" s="248">
        <f>'20'!K43</f>
      </c>
      <c r="F74" s="250">
        <f t="shared" si="4"/>
      </c>
      <c r="G74" s="248">
        <f>'20'!G24</f>
      </c>
      <c r="H74" s="248">
        <f>'20'!O43</f>
      </c>
      <c r="I74" s="250">
        <f t="shared" si="5"/>
      </c>
      <c r="J74" s="250">
        <f t="shared" si="7"/>
      </c>
    </row>
    <row r="75" spans="1:10" x14ac:dyDescent="0.35">
      <c r="A75" s="247">
        <v>21</v>
      </c>
      <c r="B75" s="248">
        <f>'21'!G23</f>
      </c>
      <c r="C75" s="250">
        <f t="shared" si="6"/>
      </c>
      <c r="D75" s="249">
        <f>'21'!P48</f>
      </c>
      <c r="E75" s="248">
        <f>'21'!K43</f>
      </c>
      <c r="F75" s="250">
        <f t="shared" si="4"/>
      </c>
      <c r="G75" s="248">
        <f>'21'!G24</f>
      </c>
      <c r="H75" s="248">
        <f>'21'!O43</f>
      </c>
      <c r="I75" s="250">
        <f t="shared" si="5"/>
      </c>
      <c r="J75" s="250">
        <f t="shared" si="7"/>
      </c>
    </row>
    <row r="76" spans="1:10" x14ac:dyDescent="0.35">
      <c r="A76" s="251">
        <v>22</v>
      </c>
      <c r="B76" s="248">
        <f>'22'!G23</f>
      </c>
      <c r="C76" s="250">
        <f t="shared" si="6"/>
      </c>
      <c r="D76" s="249">
        <f>'22'!P48</f>
      </c>
      <c r="E76" s="248">
        <f>'22'!K43</f>
      </c>
      <c r="F76" s="250">
        <f t="shared" si="4"/>
      </c>
      <c r="G76" s="248">
        <f>'22'!G24</f>
      </c>
      <c r="H76" s="248">
        <f>'22'!O43</f>
      </c>
      <c r="I76" s="250">
        <f t="shared" si="5"/>
      </c>
      <c r="J76" s="250">
        <f t="shared" si="7"/>
      </c>
    </row>
    <row r="77" spans="1:10" x14ac:dyDescent="0.35">
      <c r="A77" s="247">
        <v>23</v>
      </c>
      <c r="B77" s="248">
        <f>'23'!G23</f>
      </c>
      <c r="C77" s="250">
        <f t="shared" si="6"/>
      </c>
      <c r="D77" s="249">
        <f>'23'!P48</f>
      </c>
      <c r="E77" s="248">
        <f>'23'!K43</f>
      </c>
      <c r="F77" s="250">
        <f t="shared" si="4"/>
      </c>
      <c r="G77" s="248">
        <f>'23'!G24</f>
      </c>
      <c r="H77" s="248">
        <f>'23'!O43</f>
      </c>
      <c r="I77" s="250">
        <f t="shared" si="5"/>
      </c>
      <c r="J77" s="250">
        <f t="shared" si="7"/>
      </c>
    </row>
    <row r="78" spans="1:10" x14ac:dyDescent="0.35">
      <c r="A78" s="247">
        <v>24</v>
      </c>
      <c r="B78" s="248">
        <f>'24'!G23</f>
      </c>
      <c r="C78" s="250">
        <f t="shared" si="6"/>
      </c>
      <c r="D78" s="249">
        <f>'24'!P48</f>
      </c>
      <c r="E78" s="248">
        <f>'24'!K43</f>
      </c>
      <c r="F78" s="250">
        <f t="shared" si="4"/>
      </c>
      <c r="G78" s="248">
        <f>'24'!G24</f>
      </c>
      <c r="H78" s="248">
        <f>'24'!O43</f>
      </c>
      <c r="I78" s="250">
        <f t="shared" si="5"/>
      </c>
      <c r="J78" s="250">
        <f t="shared" si="7"/>
      </c>
    </row>
    <row r="79" spans="1:10" x14ac:dyDescent="0.35">
      <c r="A79" s="251">
        <v>25</v>
      </c>
      <c r="B79" s="248">
        <f>'25'!G23</f>
      </c>
      <c r="C79" s="250">
        <f t="shared" si="6"/>
      </c>
      <c r="D79" s="249">
        <f>'25'!P48</f>
      </c>
      <c r="E79" s="248">
        <f>'25'!K43</f>
      </c>
      <c r="F79" s="250">
        <f t="shared" si="4"/>
      </c>
      <c r="G79" s="248">
        <f>'25'!G24</f>
      </c>
      <c r="H79" s="248">
        <f>'25'!O43</f>
      </c>
      <c r="I79" s="250">
        <f t="shared" si="5"/>
      </c>
      <c r="J79" s="250">
        <f t="shared" si="7"/>
      </c>
    </row>
    <row r="80" spans="1:10" x14ac:dyDescent="0.35">
      <c r="A80" s="247">
        <v>26</v>
      </c>
      <c r="B80" s="248">
        <f>'26'!G23</f>
      </c>
      <c r="C80" s="250">
        <f t="shared" si="6"/>
      </c>
      <c r="D80" s="249">
        <f>'26'!P48</f>
      </c>
      <c r="E80" s="248">
        <f>'26'!K43</f>
      </c>
      <c r="F80" s="250">
        <f t="shared" si="4"/>
      </c>
      <c r="G80" s="248">
        <f>'26'!G24</f>
      </c>
      <c r="H80" s="248">
        <f>'26'!O43</f>
      </c>
      <c r="I80" s="250">
        <f t="shared" si="5"/>
      </c>
      <c r="J80" s="250">
        <f t="shared" si="7"/>
      </c>
    </row>
    <row r="81" spans="1:10" x14ac:dyDescent="0.35">
      <c r="A81" s="247">
        <v>27</v>
      </c>
      <c r="B81" s="248">
        <f>'27'!G23</f>
      </c>
      <c r="C81" s="250">
        <f t="shared" si="6"/>
      </c>
      <c r="D81" s="249">
        <f>'27'!P48</f>
      </c>
      <c r="E81" s="248">
        <f>'27'!K43</f>
      </c>
      <c r="F81" s="250">
        <f t="shared" si="4"/>
      </c>
      <c r="G81" s="248">
        <f>'27'!G24</f>
      </c>
      <c r="H81" s="248">
        <f>'27'!O43</f>
      </c>
      <c r="I81" s="250">
        <f t="shared" si="5"/>
      </c>
      <c r="J81" s="250">
        <f t="shared" si="7"/>
      </c>
    </row>
    <row r="82" spans="1:10" x14ac:dyDescent="0.35">
      <c r="A82" s="251">
        <v>28</v>
      </c>
      <c r="B82" s="248">
        <f>'28'!G23</f>
      </c>
      <c r="C82" s="250">
        <f t="shared" si="6"/>
      </c>
      <c r="D82" s="249">
        <f>'28'!P48</f>
      </c>
      <c r="E82" s="248">
        <f>'28'!K43</f>
      </c>
      <c r="F82" s="250">
        <f t="shared" si="4"/>
      </c>
      <c r="G82" s="248">
        <f>'28'!G24</f>
      </c>
      <c r="H82" s="248">
        <f>'28'!O43</f>
      </c>
      <c r="I82" s="250">
        <f t="shared" si="5"/>
      </c>
      <c r="J82" s="250">
        <f t="shared" si="7"/>
      </c>
    </row>
    <row r="83" spans="1:10" x14ac:dyDescent="0.35">
      <c r="A83" s="247">
        <v>29</v>
      </c>
      <c r="B83" s="248">
        <f>'29'!G23</f>
      </c>
      <c r="C83" s="250">
        <f t="shared" si="6"/>
      </c>
      <c r="D83" s="249">
        <f>'29'!P48</f>
      </c>
      <c r="E83" s="248">
        <f>'29'!K43</f>
      </c>
      <c r="F83" s="250">
        <f t="shared" si="4"/>
      </c>
      <c r="G83" s="248">
        <f>'29'!G24</f>
      </c>
      <c r="H83" s="248">
        <f>'29'!O43</f>
      </c>
      <c r="I83" s="250">
        <f t="shared" si="5"/>
      </c>
      <c r="J83" s="250">
        <f t="shared" si="7"/>
      </c>
    </row>
    <row r="84" spans="1:10" x14ac:dyDescent="0.35">
      <c r="A84" s="247">
        <v>30</v>
      </c>
      <c r="B84" s="248">
        <f>'30'!G23</f>
      </c>
      <c r="C84" s="250">
        <f t="shared" si="6"/>
      </c>
      <c r="D84" s="249">
        <f>'30'!P48</f>
      </c>
      <c r="E84" s="248">
        <f>'30'!K43</f>
      </c>
      <c r="F84" s="250">
        <f t="shared" si="4"/>
      </c>
      <c r="G84" s="248">
        <f>'30'!G24</f>
      </c>
      <c r="H84" s="248">
        <f>'30'!O43</f>
      </c>
      <c r="I84" s="250">
        <f t="shared" si="5"/>
      </c>
      <c r="J84" s="250">
        <f t="shared" si="7"/>
      </c>
    </row>
    <row r="85" spans="1:10" x14ac:dyDescent="0.35">
      <c r="A85" s="251">
        <v>31</v>
      </c>
      <c r="B85" s="248">
        <f>'31'!G23</f>
      </c>
      <c r="C85" s="250">
        <f t="shared" si="6"/>
      </c>
      <c r="D85" s="249">
        <f>'31'!P48</f>
      </c>
      <c r="E85" s="248">
        <f>'31'!K43</f>
      </c>
      <c r="F85" s="250">
        <f t="shared" si="4"/>
      </c>
      <c r="G85" s="248">
        <f>'31'!G24</f>
      </c>
      <c r="H85" s="248">
        <f>'31'!O43</f>
      </c>
      <c r="I85" s="250">
        <f t="shared" si="5"/>
      </c>
      <c r="J85" s="250">
        <f t="shared" si="7"/>
      </c>
    </row>
    <row r="87" spans="1:10" ht="15.5" x14ac:dyDescent="0.35">
      <c r="A87" t="s" s="404">
        <v>305</v>
      </c>
      <c r="B87" s="405"/>
      <c r="C87" s="252">
        <f>SUM(E55:E85)</f>
      </c>
      <c r="H87" t="s" s="404">
        <v>306</v>
      </c>
      <c r="I87" s="404"/>
      <c r="J87" s="252">
        <f>SUM(I55:I85)</f>
      </c>
    </row>
    <row r="88" spans="1:10" x14ac:dyDescent="0.35">
      <c r="A88" s="45"/>
      <c r="B88" s="45"/>
    </row>
    <row r="89" spans="1:10" ht="15.5" x14ac:dyDescent="0.35">
      <c r="A89" t="s" s="404">
        <v>307</v>
      </c>
      <c r="B89" s="405"/>
      <c r="C89" s="252">
        <f>SUM(C87*0.01)+(130)</f>
      </c>
      <c r="E89" t="s" s="353">
        <v>308</v>
      </c>
      <c r="F89" s="353"/>
      <c r="G89" s="231">
        <v>0</v>
      </c>
      <c r="I89" t="s" s="58">
        <v>309</v>
      </c>
      <c r="J89" s="254">
        <f>IF((SQRT(SUM(I55:I85)*SUM(I55:I85)))&gt;C89,"FAIL","PASS")</f>
      </c>
    </row>
    <row r="91" spans="1:10" x14ac:dyDescent="0.35">
      <c r="A91" t="s" s="406">
        <v>310</v>
      </c>
      <c r="B91" s="407"/>
      <c r="C91" s="407"/>
      <c r="D91" s="407"/>
      <c r="E91" s="407"/>
      <c r="F91" s="407"/>
      <c r="G91" s="407"/>
      <c r="H91" s="407"/>
      <c r="I91" s="407"/>
      <c r="J91" s="408"/>
    </row>
    <row r="93" spans="1:10" ht="15.5" x14ac:dyDescent="0.35">
      <c r="A93" t="s" s="410">
        <v>288</v>
      </c>
      <c r="B93" s="410"/>
      <c r="C93" s="410"/>
      <c r="D93" s="410"/>
      <c r="E93" s="410"/>
      <c r="F93" s="410"/>
      <c r="G93" s="410"/>
      <c r="H93" s="410"/>
      <c r="I93" s="410"/>
      <c r="J93" s="410"/>
    </row>
    <row r="95" spans="1:10" x14ac:dyDescent="0.35">
      <c r="A95" t="s" s="411">
        <v>289</v>
      </c>
      <c r="B95" s="411"/>
      <c r="C95" s="412">
        <f>C3</f>
      </c>
      <c r="D95" s="412"/>
      <c r="E95" s="412"/>
      <c r="F95" s="412"/>
      <c r="H95" t="s" s="242">
        <v>291</v>
      </c>
      <c r="I95" s="243">
        <f>I3</f>
      </c>
      <c r="J95" s="244">
        <f>J3</f>
      </c>
    </row>
    <row r="97" spans="1:10" x14ac:dyDescent="0.35">
      <c r="A97" t="s" s="411">
        <v>293</v>
      </c>
      <c r="B97" s="411"/>
      <c r="C97" s="244">
        <f>C5</f>
      </c>
      <c r="E97" t="s" s="242">
        <v>294</v>
      </c>
      <c r="F97" s="245">
        <v>8000</v>
      </c>
      <c r="I97" t="s" s="242">
        <v>295</v>
      </c>
      <c r="J97" t="s" s="244">
        <v>133</v>
      </c>
    </row>
    <row r="99" spans="1:10" ht="52" x14ac:dyDescent="0.35">
      <c r="A99" t="s" s="409">
        <v>296</v>
      </c>
      <c r="B99" t="s" s="409">
        <v>297</v>
      </c>
      <c r="C99" s="409"/>
      <c r="D99" t="s" s="246">
        <v>298</v>
      </c>
      <c r="E99" t="s" s="246">
        <v>299</v>
      </c>
      <c r="F99" t="s" s="246">
        <v>300</v>
      </c>
      <c r="G99" t="s" s="409">
        <v>301</v>
      </c>
      <c r="H99" s="409"/>
      <c r="I99" t="s" s="246">
        <v>302</v>
      </c>
      <c r="J99" t="s" s="246">
        <v>303</v>
      </c>
    </row>
    <row r="100" spans="1:10" x14ac:dyDescent="0.35">
      <c r="A100" s="409"/>
      <c r="B100" t="s" s="240">
        <v>286</v>
      </c>
      <c r="C100" t="s" s="240">
        <v>304</v>
      </c>
      <c r="D100" t="s" s="240">
        <v>304</v>
      </c>
      <c r="E100" t="s" s="240">
        <v>304</v>
      </c>
      <c r="F100" t="s" s="240">
        <v>304</v>
      </c>
      <c r="G100" t="s" s="240">
        <v>286</v>
      </c>
      <c r="H100" t="s" s="240">
        <v>304</v>
      </c>
      <c r="I100" t="s" s="240">
        <v>304</v>
      </c>
      <c r="J100" t="s" s="240">
        <v>304</v>
      </c>
    </row>
    <row r="101" spans="1:10" x14ac:dyDescent="0.35">
      <c r="A101" s="247">
        <v>1</v>
      </c>
      <c r="B101" s="248">
        <f>'1'!E23</f>
      </c>
      <c r="C101" s="248">
        <f>'1'!L49</f>
      </c>
      <c r="D101" s="249">
        <f>'1'!P49</f>
      </c>
      <c r="E101" s="248">
        <f>'1'!K44</f>
      </c>
      <c r="F101" s="250">
        <f>SUM(C101+D101-E101)</f>
      </c>
      <c r="G101" s="248">
        <f>'1'!E24</f>
      </c>
      <c r="H101" s="248">
        <f>'1'!O44</f>
      </c>
      <c r="I101" s="250">
        <f>SUM(H101-F101)</f>
      </c>
      <c r="J101" s="250">
        <f>I101</f>
      </c>
    </row>
    <row r="102" spans="1:10" x14ac:dyDescent="0.35">
      <c r="A102" s="247">
        <v>2</v>
      </c>
      <c r="B102" s="248">
        <f>'2'!E23</f>
      </c>
      <c r="C102" s="250">
        <f>H101</f>
      </c>
      <c r="D102" s="249">
        <f>'2'!P49</f>
      </c>
      <c r="E102" s="248">
        <f>'2'!K44</f>
      </c>
      <c r="F102" s="250">
        <f t="shared" ref="F102:F131" si="8">SUM(C102+D102-E102)</f>
      </c>
      <c r="G102" s="248">
        <f>'2'!E24</f>
      </c>
      <c r="H102" s="248">
        <f>'2'!O44</f>
      </c>
      <c r="I102" s="250">
        <f t="shared" ref="I102:I131" si="9">SUM(H102-F102)</f>
      </c>
      <c r="J102" s="250">
        <f>I102+J101</f>
      </c>
    </row>
    <row r="103" spans="1:10" x14ac:dyDescent="0.35">
      <c r="A103" s="247">
        <v>3</v>
      </c>
      <c r="B103" s="248">
        <f>'3'!E23</f>
      </c>
      <c r="C103" s="250">
        <f t="shared" ref="C103:C131" si="10">H102</f>
      </c>
      <c r="D103" s="249">
        <f>'3'!P49</f>
      </c>
      <c r="E103" s="248">
        <f>'3'!K44</f>
      </c>
      <c r="F103" s="250">
        <f t="shared" si="8"/>
      </c>
      <c r="G103" s="248">
        <f>'3'!E24</f>
      </c>
      <c r="H103" s="248">
        <f>'3'!O44</f>
      </c>
      <c r="I103" s="250">
        <f t="shared" si="9"/>
      </c>
      <c r="J103" s="250">
        <f t="shared" ref="J103:J131" si="11">I103+J102</f>
      </c>
    </row>
    <row r="104" spans="1:10" x14ac:dyDescent="0.35">
      <c r="A104" s="251">
        <v>4</v>
      </c>
      <c r="B104" s="248">
        <f>'4'!E23</f>
      </c>
      <c r="C104" s="250">
        <f t="shared" si="10"/>
      </c>
      <c r="D104" s="249">
        <f>'4'!P49</f>
      </c>
      <c r="E104" s="248">
        <f>'4'!K44</f>
      </c>
      <c r="F104" s="250">
        <f t="shared" si="8"/>
      </c>
      <c r="G104" s="248">
        <f>'4'!E24</f>
      </c>
      <c r="H104" s="248">
        <f>'4'!O44</f>
      </c>
      <c r="I104" s="250">
        <f t="shared" si="9"/>
      </c>
      <c r="J104" s="250">
        <f t="shared" si="11"/>
      </c>
    </row>
    <row r="105" spans="1:10" x14ac:dyDescent="0.35">
      <c r="A105" s="247">
        <v>5</v>
      </c>
      <c r="B105" s="248">
        <f>'5'!E23</f>
      </c>
      <c r="C105" s="250">
        <f t="shared" si="10"/>
      </c>
      <c r="D105" s="249">
        <f>'5'!P49</f>
      </c>
      <c r="E105" s="248">
        <f>'5'!K44</f>
      </c>
      <c r="F105" s="250">
        <f t="shared" si="8"/>
      </c>
      <c r="G105" s="248">
        <f>'5'!E24</f>
      </c>
      <c r="H105" s="248">
        <f>'5'!O44</f>
      </c>
      <c r="I105" s="250">
        <f t="shared" si="9"/>
      </c>
      <c r="J105" s="250">
        <f t="shared" si="11"/>
      </c>
    </row>
    <row r="106" spans="1:10" x14ac:dyDescent="0.35">
      <c r="A106" s="247">
        <v>6</v>
      </c>
      <c r="B106" s="248">
        <f>'6'!E23</f>
      </c>
      <c r="C106" s="250">
        <f t="shared" si="10"/>
      </c>
      <c r="D106" s="249">
        <f>'6'!P49</f>
      </c>
      <c r="E106" s="248">
        <f>'6'!K44</f>
      </c>
      <c r="F106" s="250">
        <f t="shared" si="8"/>
      </c>
      <c r="G106" s="248">
        <f>'6'!E24</f>
      </c>
      <c r="H106" s="248">
        <f>'6'!O44</f>
      </c>
      <c r="I106" s="250">
        <f t="shared" si="9"/>
      </c>
      <c r="J106" s="250">
        <f t="shared" si="11"/>
      </c>
    </row>
    <row r="107" spans="1:10" x14ac:dyDescent="0.35">
      <c r="A107" s="251">
        <v>7</v>
      </c>
      <c r="B107" s="248">
        <f>'7'!E23</f>
      </c>
      <c r="C107" s="250">
        <f t="shared" si="10"/>
      </c>
      <c r="D107" s="249">
        <f>'7'!P49</f>
      </c>
      <c r="E107" s="248">
        <f>'7'!K44</f>
      </c>
      <c r="F107" s="250">
        <f t="shared" si="8"/>
      </c>
      <c r="G107" s="248">
        <f>'7'!E24</f>
      </c>
      <c r="H107" s="248">
        <f>'7'!O44</f>
      </c>
      <c r="I107" s="250">
        <f t="shared" si="9"/>
      </c>
      <c r="J107" s="250">
        <f t="shared" si="11"/>
      </c>
    </row>
    <row r="108" spans="1:10" x14ac:dyDescent="0.35">
      <c r="A108" s="247">
        <v>8</v>
      </c>
      <c r="B108" s="248">
        <f>'8'!E23</f>
      </c>
      <c r="C108" s="250">
        <f t="shared" si="10"/>
      </c>
      <c r="D108" s="249">
        <f>'8'!P49</f>
      </c>
      <c r="E108" s="248">
        <f>'8'!K44</f>
      </c>
      <c r="F108" s="250">
        <f t="shared" si="8"/>
      </c>
      <c r="G108" s="248">
        <f>'8'!E24</f>
      </c>
      <c r="H108" s="248">
        <f>'8'!O44</f>
      </c>
      <c r="I108" s="250">
        <f t="shared" si="9"/>
      </c>
      <c r="J108" s="250">
        <f t="shared" si="11"/>
      </c>
    </row>
    <row r="109" spans="1:10" x14ac:dyDescent="0.35">
      <c r="A109" s="247">
        <v>9</v>
      </c>
      <c r="B109" s="248">
        <f>'9'!E23</f>
      </c>
      <c r="C109" s="250">
        <f t="shared" si="10"/>
      </c>
      <c r="D109" s="249">
        <f>'9'!P49</f>
      </c>
      <c r="E109" s="248">
        <f>'9'!K44</f>
      </c>
      <c r="F109" s="250">
        <f t="shared" si="8"/>
      </c>
      <c r="G109" s="248">
        <f>'9'!E24</f>
      </c>
      <c r="H109" s="248">
        <f>'9'!O44</f>
      </c>
      <c r="I109" s="250">
        <f t="shared" si="9"/>
      </c>
      <c r="J109" s="250">
        <f t="shared" si="11"/>
      </c>
    </row>
    <row r="110" spans="1:10" x14ac:dyDescent="0.35">
      <c r="A110" s="251">
        <v>10</v>
      </c>
      <c r="B110" s="248">
        <f>'10'!E23</f>
      </c>
      <c r="C110" s="250">
        <f t="shared" si="10"/>
      </c>
      <c r="D110" s="249">
        <f>'10'!P49</f>
      </c>
      <c r="E110" s="248">
        <f>'10'!K44</f>
      </c>
      <c r="F110" s="250">
        <f t="shared" si="8"/>
      </c>
      <c r="G110" s="248">
        <f>'10'!E24</f>
      </c>
      <c r="H110" s="248">
        <f>'10'!O44</f>
      </c>
      <c r="I110" s="250">
        <f t="shared" si="9"/>
      </c>
      <c r="J110" s="250">
        <f t="shared" si="11"/>
      </c>
    </row>
    <row r="111" spans="1:10" x14ac:dyDescent="0.35">
      <c r="A111" s="247">
        <v>11</v>
      </c>
      <c r="B111" s="248">
        <f>'11'!E23</f>
      </c>
      <c r="C111" s="250">
        <f t="shared" si="10"/>
      </c>
      <c r="D111" s="249">
        <f>'11'!P49</f>
      </c>
      <c r="E111" s="248">
        <f>'11'!K44</f>
      </c>
      <c r="F111" s="250">
        <f t="shared" si="8"/>
      </c>
      <c r="G111" s="248">
        <f>'11'!E24</f>
      </c>
      <c r="H111" s="248">
        <f>'11'!O44</f>
      </c>
      <c r="I111" s="250">
        <f t="shared" si="9"/>
      </c>
      <c r="J111" s="250">
        <f t="shared" si="11"/>
      </c>
    </row>
    <row r="112" spans="1:10" x14ac:dyDescent="0.35">
      <c r="A112" s="247">
        <v>12</v>
      </c>
      <c r="B112" s="248">
        <f>'12'!E23</f>
      </c>
      <c r="C112" s="250">
        <f t="shared" si="10"/>
      </c>
      <c r="D112" s="249">
        <f>'12'!P49</f>
      </c>
      <c r="E112" s="248">
        <f>'12'!K44</f>
      </c>
      <c r="F112" s="250">
        <f t="shared" si="8"/>
      </c>
      <c r="G112" s="248">
        <f>'12'!E24</f>
      </c>
      <c r="H112" s="248">
        <f>'12'!O44</f>
      </c>
      <c r="I112" s="250">
        <f t="shared" si="9"/>
      </c>
      <c r="J112" s="250">
        <f t="shared" si="11"/>
      </c>
    </row>
    <row r="113" spans="1:10" x14ac:dyDescent="0.35">
      <c r="A113" s="251">
        <v>13</v>
      </c>
      <c r="B113" s="248">
        <f>'13'!E23</f>
      </c>
      <c r="C113" s="250">
        <f t="shared" si="10"/>
      </c>
      <c r="D113" s="249">
        <f>'13'!P49</f>
      </c>
      <c r="E113" s="248">
        <f>'13'!K44</f>
      </c>
      <c r="F113" s="250">
        <f t="shared" si="8"/>
      </c>
      <c r="G113" s="248">
        <f>'13'!E24</f>
      </c>
      <c r="H113" s="248">
        <f>'13'!O44</f>
      </c>
      <c r="I113" s="250">
        <f t="shared" si="9"/>
      </c>
      <c r="J113" s="250">
        <f t="shared" si="11"/>
      </c>
    </row>
    <row r="114" spans="1:10" x14ac:dyDescent="0.35">
      <c r="A114" s="247">
        <v>14</v>
      </c>
      <c r="B114" s="248">
        <f>'14'!E23</f>
      </c>
      <c r="C114" s="250">
        <f t="shared" si="10"/>
      </c>
      <c r="D114" s="249">
        <f>'14'!P49</f>
      </c>
      <c r="E114" s="248">
        <f>'14'!K44</f>
      </c>
      <c r="F114" s="250">
        <f t="shared" si="8"/>
      </c>
      <c r="G114" s="248">
        <f>'14'!E24</f>
      </c>
      <c r="H114" s="248">
        <f>'14'!O44</f>
      </c>
      <c r="I114" s="250">
        <f t="shared" si="9"/>
      </c>
      <c r="J114" s="250">
        <f t="shared" si="11"/>
      </c>
    </row>
    <row r="115" spans="1:10" x14ac:dyDescent="0.35">
      <c r="A115" s="247">
        <v>15</v>
      </c>
      <c r="B115" s="248">
        <f>'15'!E23</f>
      </c>
      <c r="C115" s="250">
        <f t="shared" si="10"/>
      </c>
      <c r="D115" s="249">
        <f>'15'!P49</f>
      </c>
      <c r="E115" s="248">
        <f>'15'!K44</f>
      </c>
      <c r="F115" s="250">
        <f t="shared" si="8"/>
      </c>
      <c r="G115" s="248">
        <f>'15'!E24</f>
      </c>
      <c r="H115" s="248">
        <f>'15'!O44</f>
      </c>
      <c r="I115" s="250">
        <f t="shared" si="9"/>
      </c>
      <c r="J115" s="250">
        <f t="shared" si="11"/>
      </c>
    </row>
    <row r="116" spans="1:10" x14ac:dyDescent="0.35">
      <c r="A116" s="251">
        <v>16</v>
      </c>
      <c r="B116" s="248">
        <f>'16'!E23</f>
      </c>
      <c r="C116" s="250">
        <f t="shared" si="10"/>
      </c>
      <c r="D116" s="249">
        <f>'16'!P49</f>
      </c>
      <c r="E116" s="248">
        <f>'16'!K44</f>
      </c>
      <c r="F116" s="250">
        <f t="shared" si="8"/>
      </c>
      <c r="G116" s="248">
        <f>'16'!E24</f>
      </c>
      <c r="H116" s="248">
        <f>'16'!O44</f>
      </c>
      <c r="I116" s="250">
        <f t="shared" si="9"/>
      </c>
      <c r="J116" s="250">
        <f t="shared" si="11"/>
      </c>
    </row>
    <row r="117" spans="1:10" x14ac:dyDescent="0.35">
      <c r="A117" s="247">
        <v>17</v>
      </c>
      <c r="B117" s="248">
        <f>'17'!E23</f>
      </c>
      <c r="C117" s="250">
        <f t="shared" si="10"/>
      </c>
      <c r="D117" s="249">
        <f>'17'!P49</f>
      </c>
      <c r="E117" s="248">
        <f>'17'!K44</f>
      </c>
      <c r="F117" s="250">
        <f t="shared" si="8"/>
      </c>
      <c r="G117" s="248">
        <f>'17'!E24</f>
      </c>
      <c r="H117" s="248">
        <f>'17'!O44</f>
      </c>
      <c r="I117" s="250">
        <f t="shared" si="9"/>
      </c>
      <c r="J117" s="250">
        <f t="shared" si="11"/>
      </c>
    </row>
    <row r="118" spans="1:10" x14ac:dyDescent="0.35">
      <c r="A118" s="247">
        <v>18</v>
      </c>
      <c r="B118" s="248">
        <f>'18'!E23</f>
      </c>
      <c r="C118" s="250">
        <f t="shared" si="10"/>
      </c>
      <c r="D118" s="249">
        <f>'18'!P49</f>
      </c>
      <c r="E118" s="248">
        <f>'18'!K44</f>
      </c>
      <c r="F118" s="250">
        <f t="shared" si="8"/>
      </c>
      <c r="G118" s="248">
        <f>'18'!E24</f>
      </c>
      <c r="H118" s="248">
        <f>'18'!O44</f>
      </c>
      <c r="I118" s="250">
        <f t="shared" si="9"/>
      </c>
      <c r="J118" s="250">
        <f t="shared" si="11"/>
      </c>
    </row>
    <row r="119" spans="1:10" x14ac:dyDescent="0.35">
      <c r="A119" s="251">
        <v>19</v>
      </c>
      <c r="B119" s="248">
        <f>'19'!E23</f>
      </c>
      <c r="C119" s="250">
        <f t="shared" si="10"/>
      </c>
      <c r="D119" s="249">
        <f>'19'!P49</f>
      </c>
      <c r="E119" s="248">
        <f>'19'!K44</f>
      </c>
      <c r="F119" s="250">
        <f t="shared" si="8"/>
      </c>
      <c r="G119" s="248">
        <f>'19'!E24</f>
      </c>
      <c r="H119" s="248">
        <f>'19'!O44</f>
      </c>
      <c r="I119" s="250">
        <f t="shared" si="9"/>
      </c>
      <c r="J119" s="250">
        <f t="shared" si="11"/>
      </c>
    </row>
    <row r="120" spans="1:10" x14ac:dyDescent="0.35">
      <c r="A120" s="247">
        <v>20</v>
      </c>
      <c r="B120" s="248">
        <f>'20'!E23</f>
      </c>
      <c r="C120" s="250">
        <f t="shared" si="10"/>
      </c>
      <c r="D120" s="249">
        <f>'20'!P49</f>
      </c>
      <c r="E120" s="248">
        <f>'20'!K44</f>
      </c>
      <c r="F120" s="250">
        <f t="shared" si="8"/>
      </c>
      <c r="G120" s="248">
        <f>'20'!E24</f>
      </c>
      <c r="H120" s="248">
        <f>'20'!O44</f>
      </c>
      <c r="I120" s="250">
        <f t="shared" si="9"/>
      </c>
      <c r="J120" s="250">
        <f t="shared" si="11"/>
      </c>
    </row>
    <row r="121" spans="1:10" x14ac:dyDescent="0.35">
      <c r="A121" s="247">
        <v>21</v>
      </c>
      <c r="B121" s="248">
        <f>'21'!E23</f>
      </c>
      <c r="C121" s="250">
        <f t="shared" si="10"/>
      </c>
      <c r="D121" s="249">
        <f>'21'!P49</f>
      </c>
      <c r="E121" s="248">
        <f>'21'!K44</f>
      </c>
      <c r="F121" s="250">
        <f t="shared" si="8"/>
      </c>
      <c r="G121" s="248">
        <f>'21'!E24</f>
      </c>
      <c r="H121" s="248">
        <f>'21'!O44</f>
      </c>
      <c r="I121" s="250">
        <f t="shared" si="9"/>
      </c>
      <c r="J121" s="250">
        <f t="shared" si="11"/>
      </c>
    </row>
    <row r="122" spans="1:10" x14ac:dyDescent="0.35">
      <c r="A122" s="251">
        <v>22</v>
      </c>
      <c r="B122" s="248">
        <f>'22'!E23</f>
      </c>
      <c r="C122" s="250">
        <f t="shared" si="10"/>
      </c>
      <c r="D122" s="249">
        <f>'22'!P49</f>
      </c>
      <c r="E122" s="248">
        <f>'22'!K44</f>
      </c>
      <c r="F122" s="250">
        <f t="shared" si="8"/>
      </c>
      <c r="G122" s="248">
        <f>'22'!E24</f>
      </c>
      <c r="H122" s="248">
        <f>'22'!O44</f>
      </c>
      <c r="I122" s="250">
        <f t="shared" si="9"/>
      </c>
      <c r="J122" s="250">
        <f t="shared" si="11"/>
      </c>
    </row>
    <row r="123" spans="1:10" x14ac:dyDescent="0.35">
      <c r="A123" s="247">
        <v>23</v>
      </c>
      <c r="B123" s="248">
        <f>'23'!E23</f>
      </c>
      <c r="C123" s="250">
        <f t="shared" si="10"/>
      </c>
      <c r="D123" s="249">
        <f>'23'!P49</f>
      </c>
      <c r="E123" s="248">
        <f>'23'!K44</f>
      </c>
      <c r="F123" s="250">
        <f t="shared" si="8"/>
      </c>
      <c r="G123" s="248">
        <f>'23'!E24</f>
      </c>
      <c r="H123" s="248">
        <f>'23'!O44</f>
      </c>
      <c r="I123" s="250">
        <f t="shared" si="9"/>
      </c>
      <c r="J123" s="250">
        <f t="shared" si="11"/>
      </c>
    </row>
    <row r="124" spans="1:10" x14ac:dyDescent="0.35">
      <c r="A124" s="247">
        <v>24</v>
      </c>
      <c r="B124" s="248">
        <f>'24'!E23</f>
      </c>
      <c r="C124" s="250">
        <f t="shared" si="10"/>
      </c>
      <c r="D124" s="249">
        <f>'24'!P49</f>
      </c>
      <c r="E124" s="248">
        <f>'24'!K44</f>
      </c>
      <c r="F124" s="250">
        <f t="shared" si="8"/>
      </c>
      <c r="G124" s="248">
        <f>'24'!E24</f>
      </c>
      <c r="H124" s="248">
        <f>'24'!O44</f>
      </c>
      <c r="I124" s="250">
        <f t="shared" si="9"/>
      </c>
      <c r="J124" s="250">
        <f t="shared" si="11"/>
      </c>
    </row>
    <row r="125" spans="1:10" x14ac:dyDescent="0.35">
      <c r="A125" s="251">
        <v>25</v>
      </c>
      <c r="B125" s="248">
        <f>'25'!E23</f>
      </c>
      <c r="C125" s="250">
        <f t="shared" si="10"/>
      </c>
      <c r="D125" s="249">
        <f>'25'!P49</f>
      </c>
      <c r="E125" s="248">
        <f>'25'!K44</f>
      </c>
      <c r="F125" s="250">
        <f t="shared" si="8"/>
      </c>
      <c r="G125" s="248">
        <f>'25'!E24</f>
      </c>
      <c r="H125" s="248">
        <f>'25'!O44</f>
      </c>
      <c r="I125" s="250">
        <f t="shared" si="9"/>
      </c>
      <c r="J125" s="250">
        <f t="shared" si="11"/>
      </c>
    </row>
    <row r="126" spans="1:10" x14ac:dyDescent="0.35">
      <c r="A126" s="247">
        <v>26</v>
      </c>
      <c r="B126" s="248">
        <f>'26'!E23</f>
      </c>
      <c r="C126" s="250">
        <f t="shared" si="10"/>
      </c>
      <c r="D126" s="249">
        <f>'26'!P49</f>
      </c>
      <c r="E126" s="248">
        <f>'26'!K44</f>
      </c>
      <c r="F126" s="250">
        <f t="shared" si="8"/>
      </c>
      <c r="G126" s="248">
        <f>'26'!E24</f>
      </c>
      <c r="H126" s="248">
        <f>'26'!O44</f>
      </c>
      <c r="I126" s="250">
        <f t="shared" si="9"/>
      </c>
      <c r="J126" s="250">
        <f t="shared" si="11"/>
      </c>
    </row>
    <row r="127" spans="1:10" x14ac:dyDescent="0.35">
      <c r="A127" s="247">
        <v>27</v>
      </c>
      <c r="B127" s="248">
        <f>'27'!E23</f>
      </c>
      <c r="C127" s="250">
        <f t="shared" si="10"/>
      </c>
      <c r="D127" s="249">
        <f>'27'!P49</f>
      </c>
      <c r="E127" s="248">
        <f>'27'!K44</f>
      </c>
      <c r="F127" s="250">
        <f t="shared" si="8"/>
      </c>
      <c r="G127" s="248">
        <f>'27'!E24</f>
      </c>
      <c r="H127" s="248">
        <f>'27'!O44</f>
      </c>
      <c r="I127" s="250">
        <f t="shared" si="9"/>
      </c>
      <c r="J127" s="250">
        <f t="shared" si="11"/>
      </c>
    </row>
    <row r="128" spans="1:10" x14ac:dyDescent="0.35">
      <c r="A128" s="251">
        <v>28</v>
      </c>
      <c r="B128" s="248">
        <f>'28'!E23</f>
      </c>
      <c r="C128" s="250">
        <f t="shared" si="10"/>
      </c>
      <c r="D128" s="249">
        <f>'28'!P49</f>
      </c>
      <c r="E128" s="248">
        <f>'28'!K44</f>
      </c>
      <c r="F128" s="250">
        <f t="shared" si="8"/>
      </c>
      <c r="G128" s="248">
        <f>'28'!E24</f>
      </c>
      <c r="H128" s="248">
        <f>'28'!O44</f>
      </c>
      <c r="I128" s="250">
        <f t="shared" si="9"/>
      </c>
      <c r="J128" s="250">
        <f t="shared" si="11"/>
      </c>
    </row>
    <row r="129" spans="1:10" x14ac:dyDescent="0.35">
      <c r="A129" s="247">
        <v>29</v>
      </c>
      <c r="B129" s="248">
        <f>'29'!E23</f>
      </c>
      <c r="C129" s="250">
        <f t="shared" si="10"/>
      </c>
      <c r="D129" s="249">
        <f>'29'!P49</f>
      </c>
      <c r="E129" s="248">
        <f>'29'!K44</f>
      </c>
      <c r="F129" s="250">
        <f t="shared" si="8"/>
      </c>
      <c r="G129" s="248">
        <f>'29'!E24</f>
      </c>
      <c r="H129" s="248">
        <f>'29'!O44</f>
      </c>
      <c r="I129" s="250">
        <f t="shared" si="9"/>
      </c>
      <c r="J129" s="250">
        <f t="shared" si="11"/>
      </c>
    </row>
    <row r="130" spans="1:10" x14ac:dyDescent="0.35">
      <c r="A130" s="247">
        <v>30</v>
      </c>
      <c r="B130" s="248">
        <f>'30'!E23</f>
      </c>
      <c r="C130" s="250">
        <f t="shared" si="10"/>
      </c>
      <c r="D130" s="249">
        <f>'30'!P49</f>
      </c>
      <c r="E130" s="248">
        <f>'30'!K44</f>
      </c>
      <c r="F130" s="250">
        <f t="shared" si="8"/>
      </c>
      <c r="G130" s="248">
        <f>'30'!E24</f>
      </c>
      <c r="H130" s="248">
        <f>'30'!O44</f>
      </c>
      <c r="I130" s="250">
        <f t="shared" si="9"/>
      </c>
      <c r="J130" s="250">
        <f t="shared" si="11"/>
      </c>
    </row>
    <row r="131" spans="1:10" x14ac:dyDescent="0.35">
      <c r="A131" s="251">
        <v>31</v>
      </c>
      <c r="B131" s="248">
        <f>'31'!E23</f>
      </c>
      <c r="C131" s="250">
        <f t="shared" si="10"/>
      </c>
      <c r="D131" s="249">
        <f>'31'!P49</f>
      </c>
      <c r="E131" s="248">
        <f>'31'!K44</f>
      </c>
      <c r="F131" s="250">
        <f t="shared" si="8"/>
      </c>
      <c r="G131" s="248">
        <f>'31'!E24</f>
      </c>
      <c r="H131" s="248">
        <f>'31'!O44</f>
      </c>
      <c r="I131" s="250">
        <f t="shared" si="9"/>
      </c>
      <c r="J131" s="250">
        <f t="shared" si="11"/>
      </c>
    </row>
    <row r="133" spans="1:10" ht="15.5" x14ac:dyDescent="0.35">
      <c r="A133" t="s" s="404">
        <v>305</v>
      </c>
      <c r="B133" s="405"/>
      <c r="C133" s="252">
        <f>SUM(E101:E131)</f>
      </c>
      <c r="H133" t="s" s="404">
        <v>306</v>
      </c>
      <c r="I133" s="404"/>
      <c r="J133" s="252">
        <f>SUM(I101:I131)</f>
      </c>
    </row>
    <row r="134" spans="1:10" x14ac:dyDescent="0.35">
      <c r="A134" s="45"/>
      <c r="B134" s="45"/>
    </row>
    <row r="135" spans="1:10" ht="15.5" x14ac:dyDescent="0.35">
      <c r="A135" t="s" s="404">
        <v>307</v>
      </c>
      <c r="B135" s="405"/>
      <c r="C135" s="252">
        <f>SUM(C133*0.01)+(130)</f>
      </c>
      <c r="E135" t="s" s="353">
        <v>308</v>
      </c>
      <c r="F135" s="353"/>
      <c r="G135" s="231">
        <v>0</v>
      </c>
      <c r="I135" t="s" s="58">
        <v>309</v>
      </c>
      <c r="J135" s="254">
        <f>IF((SQRT(SUM(I101:I131)*SUM(I101:I131)))&gt;C135,"FAIL","PASS")</f>
      </c>
    </row>
    <row r="137" spans="1:10" x14ac:dyDescent="0.35">
      <c r="A137" t="s" s="406">
        <v>310</v>
      </c>
      <c r="B137" s="407"/>
      <c r="C137" s="407"/>
      <c r="D137" s="407"/>
      <c r="E137" s="407"/>
      <c r="F137" s="407"/>
      <c r="G137" s="407"/>
      <c r="H137" s="407"/>
      <c r="I137" s="407"/>
      <c r="J137" s="408"/>
    </row>
  </sheetData>
  <mergeCells count="36">
    <mergeCell ref="A1:J1"/>
    <mergeCell ref="A3:B3"/>
    <mergeCell ref="C3:F3"/>
    <mergeCell ref="A5:B5"/>
    <mergeCell ref="A7:A8"/>
    <mergeCell ref="B7:C7"/>
    <mergeCell ref="G7:H7"/>
    <mergeCell ref="G53:H53"/>
    <mergeCell ref="A41:B41"/>
    <mergeCell ref="H41:I41"/>
    <mergeCell ref="A43:B43"/>
    <mergeCell ref="E43:F43"/>
    <mergeCell ref="A45:J45"/>
    <mergeCell ref="A47:J47"/>
    <mergeCell ref="A49:B49"/>
    <mergeCell ref="C49:F49"/>
    <mergeCell ref="A51:B51"/>
    <mergeCell ref="A53:A54"/>
    <mergeCell ref="B53:C53"/>
    <mergeCell ref="G99:H99"/>
    <mergeCell ref="A87:B87"/>
    <mergeCell ref="H87:I87"/>
    <mergeCell ref="A89:B89"/>
    <mergeCell ref="E89:F89"/>
    <mergeCell ref="A91:J91"/>
    <mergeCell ref="A93:J93"/>
    <mergeCell ref="A95:B95"/>
    <mergeCell ref="C95:F95"/>
    <mergeCell ref="A97:B97"/>
    <mergeCell ref="A99:A100"/>
    <mergeCell ref="B99:C99"/>
    <mergeCell ref="A133:B133"/>
    <mergeCell ref="H133:I133"/>
    <mergeCell ref="A135:B135"/>
    <mergeCell ref="E135:F135"/>
    <mergeCell ref="A137:J1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2CC1-289E-4787-BA7D-D40F09ABB9A7}">
  <sheetPr/>
  <sheetViews>
    <sheetView workbookViewId="0">
      <selection activeCell="G27" sqref="G27"/>
    </sheetView>
  </sheetViews>
  <sheetFormatPr defaultColWidth="9.1796875" defaultRowHeight="14.5" x14ac:dyDescent="0.35"/>
  <cols>
    <col min="2" max="2" width="14.81640625" customWidth="1"/>
    <col min="3" max="3" width="14.54296875" customWidth="1"/>
    <col min="4" max="4" width="13.7265625" customWidth="1"/>
    <col min="5" max="5" width="22.1796875" customWidth="1"/>
    <col min="6" max="6" width="20.7265625" customWidth="1"/>
    <col min="7" max="7" width="26.54296875" customWidth="1"/>
    <col min="8" max="8" width="25.453125" customWidth="1"/>
    <col min="9" max="9" width="34.81640625" customWidth="1"/>
    <col min="10" max="10" width="25.453125" customWidth="1"/>
    <col min="11" max="11" width="15.7265625" customWidth="1"/>
    <col min="12" max="12" width="14.7265625" customWidth="1"/>
  </cols>
  <sheetData>
    <row r="1" spans="1:12" ht="26.5" thickBot="1" x14ac:dyDescent="0.65">
      <c r="A1" t="s" s="413">
        <v>321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5"/>
    </row>
    <row r="2" spans="1:12" ht="21.5" thickBot="1" x14ac:dyDescent="0.4">
      <c r="A2" t="s" s="334">
        <v>320</v>
      </c>
      <c r="B2" t="s" s="334">
        <v>264</v>
      </c>
      <c r="C2" t="s" s="334">
        <v>265</v>
      </c>
      <c r="D2" t="s" s="334">
        <v>273</v>
      </c>
      <c r="E2" t="s" s="334">
        <v>270</v>
      </c>
      <c r="F2" t="s" s="334">
        <v>266</v>
      </c>
      <c r="G2" t="s" s="334">
        <v>267</v>
      </c>
      <c r="H2" t="s" s="334">
        <v>268</v>
      </c>
      <c r="I2" t="s" s="334">
        <v>322</v>
      </c>
      <c r="J2" t="s" s="334">
        <v>314</v>
      </c>
      <c r="K2" t="s" s="334">
        <v>269</v>
      </c>
      <c r="L2" t="s" s="334">
        <v>240</v>
      </c>
    </row>
    <row r="3" spans="1:12" ht="15.5" x14ac:dyDescent="0.35">
      <c r="A3" s="326">
        <v>1</v>
      </c>
      <c r="B3" s="324">
        <f>'1'!L7</f>
      </c>
      <c r="C3" s="320">
        <f>'1'!F16</f>
      </c>
      <c r="D3" s="320">
        <f>'1'!F17</f>
      </c>
      <c r="E3" s="320">
        <f>'1'!L12</f>
      </c>
      <c r="F3" s="320">
        <f>'1'!Z30</f>
      </c>
      <c r="G3" s="320">
        <f>'1'!Z9</f>
      </c>
      <c r="H3" s="320">
        <f>'1'!F45-F46</f>
      </c>
      <c r="I3" s="321">
        <f>'1'!F31</f>
      </c>
      <c r="J3" s="320">
        <f>'1'!F15</f>
      </c>
      <c r="K3" s="155">
        <f>(128.55+29.42+665.77)/7</f>
      </c>
      <c r="L3" s="322">
        <f>'1'!Z10</f>
      </c>
    </row>
    <row r="4" spans="1:12" ht="15.5" x14ac:dyDescent="0.35">
      <c r="A4" s="327">
        <v>2</v>
      </c>
      <c r="B4" s="325">
        <f>'2'!L7</f>
      </c>
      <c r="C4" s="318">
        <f>'2'!F16</f>
      </c>
      <c r="D4" s="318">
        <f>'2'!F17</f>
      </c>
      <c r="E4" s="318">
        <f>'2'!L12</f>
      </c>
      <c r="F4" s="318">
        <f>'2'!Z30</f>
      </c>
      <c r="G4" s="318">
        <f>'2'!Z9</f>
      </c>
      <c r="H4" s="318">
        <f>'2'!F45-F46</f>
      </c>
      <c r="I4" s="319">
        <f>'2'!F31</f>
      </c>
      <c r="J4" s="318">
        <f>'2'!F15</f>
      </c>
      <c r="K4" s="150">
        <f t="shared" ref="K4:K33" si="0">(128.55+29.42+665.77)/7</f>
      </c>
      <c r="L4" s="323">
        <f>'2'!Z10</f>
      </c>
    </row>
    <row r="5" spans="1:12" ht="15.5" x14ac:dyDescent="0.35">
      <c r="A5" s="327">
        <v>3</v>
      </c>
      <c r="B5" s="325">
        <f>'3'!L7</f>
      </c>
      <c r="C5" s="318">
        <f>'3'!F16</f>
      </c>
      <c r="D5" s="318">
        <f>'3'!F17</f>
      </c>
      <c r="E5" s="318">
        <f>'3'!L12</f>
      </c>
      <c r="F5" s="318">
        <f>'3'!Z30</f>
      </c>
      <c r="G5" s="318">
        <f>'3'!Z9</f>
      </c>
      <c r="H5" s="318">
        <f>'3'!F45-F46</f>
      </c>
      <c r="I5" s="319">
        <f>'3'!F31</f>
      </c>
      <c r="J5" s="318">
        <f>'3'!F15</f>
      </c>
      <c r="K5" s="150">
        <f t="shared" si="0"/>
      </c>
      <c r="L5" s="323">
        <f>'3'!Z10</f>
      </c>
    </row>
    <row r="6" spans="1:12" ht="15.5" x14ac:dyDescent="0.35">
      <c r="A6" s="327">
        <v>4</v>
      </c>
      <c r="B6" s="325">
        <f>'4'!L7</f>
      </c>
      <c r="C6" s="318">
        <f>'4'!F16</f>
      </c>
      <c r="D6" s="318">
        <f>'4'!F17</f>
      </c>
      <c r="E6" s="318">
        <f>'4'!L12</f>
      </c>
      <c r="F6" s="318">
        <f>'4'!Z30</f>
      </c>
      <c r="G6" s="318">
        <f>'4'!Z9</f>
      </c>
      <c r="H6" s="318">
        <f>'4'!F45-F46</f>
      </c>
      <c r="I6" s="319">
        <f>'4'!F31</f>
      </c>
      <c r="J6" s="318">
        <f>'4'!F15</f>
      </c>
      <c r="K6" s="150">
        <f t="shared" si="0"/>
      </c>
      <c r="L6" s="323">
        <f>'4'!Z10</f>
      </c>
    </row>
    <row r="7" spans="1:12" ht="15.5" x14ac:dyDescent="0.35">
      <c r="A7" s="327">
        <v>5</v>
      </c>
      <c r="B7" s="325">
        <f>'5'!L7</f>
      </c>
      <c r="C7" s="318">
        <f>'5'!F16</f>
      </c>
      <c r="D7" s="318">
        <f>'5'!F17</f>
      </c>
      <c r="E7" s="318">
        <f>'5'!L12</f>
      </c>
      <c r="F7" s="318">
        <f>'5'!Z30</f>
      </c>
      <c r="G7" s="318">
        <f>'5'!Z9</f>
      </c>
      <c r="H7" s="318">
        <f>'5'!F45-F46</f>
      </c>
      <c r="I7" s="319">
        <f>'5'!F31</f>
      </c>
      <c r="J7" s="318">
        <f>'5'!F15</f>
      </c>
      <c r="K7" s="150">
        <f t="shared" si="0"/>
      </c>
      <c r="L7" s="323">
        <f>'5'!Z10</f>
      </c>
    </row>
    <row r="8" spans="1:12" ht="15.5" x14ac:dyDescent="0.35">
      <c r="A8" s="327">
        <v>6</v>
      </c>
      <c r="B8" s="325">
        <f>'6'!L7</f>
      </c>
      <c r="C8" s="318">
        <f>'6'!F16</f>
      </c>
      <c r="D8" s="318">
        <f>'6'!F17</f>
      </c>
      <c r="E8" s="318">
        <f>'6'!L12</f>
      </c>
      <c r="F8" s="318">
        <f>'6'!Z30</f>
      </c>
      <c r="G8" s="318">
        <f>'6'!Z9</f>
      </c>
      <c r="H8" s="318">
        <f>'6'!F45-F46</f>
      </c>
      <c r="I8" s="319">
        <f>'6'!F31</f>
      </c>
      <c r="J8" s="318">
        <f>'6'!F15</f>
      </c>
      <c r="K8" s="150">
        <f t="shared" si="0"/>
      </c>
      <c r="L8" s="323">
        <f>'6'!Z10</f>
      </c>
    </row>
    <row r="9" spans="1:12" ht="15.5" x14ac:dyDescent="0.35">
      <c r="A9" s="327">
        <v>7</v>
      </c>
      <c r="B9" s="325">
        <f>'7'!L7</f>
      </c>
      <c r="C9" s="318">
        <f>'7'!F16</f>
      </c>
      <c r="D9" s="318">
        <f>'7'!F17</f>
      </c>
      <c r="E9" s="318">
        <f>'7'!L12</f>
      </c>
      <c r="F9" s="318">
        <f>'7'!Z30</f>
      </c>
      <c r="G9" s="318">
        <f>'7'!Z9</f>
      </c>
      <c r="H9" s="318">
        <f>'7'!F45-F46</f>
      </c>
      <c r="I9" s="319">
        <f>'7'!F31</f>
      </c>
      <c r="J9" s="318">
        <f>'7'!F15</f>
      </c>
      <c r="K9" s="150">
        <f t="shared" si="0"/>
      </c>
      <c r="L9" s="323">
        <f>'7'!Z10</f>
      </c>
    </row>
    <row r="10" spans="1:12" ht="15.5" x14ac:dyDescent="0.35">
      <c r="A10" s="327">
        <v>8</v>
      </c>
      <c r="B10" s="325">
        <f>'8'!L7</f>
      </c>
      <c r="C10" s="318">
        <f>'8'!F16</f>
      </c>
      <c r="D10" s="318">
        <f>'8'!F17</f>
      </c>
      <c r="E10" s="318">
        <f>'8'!L12</f>
      </c>
      <c r="F10" s="318">
        <f>'8'!Z30</f>
      </c>
      <c r="G10" s="318">
        <f>'8'!Z9</f>
      </c>
      <c r="H10" s="318">
        <f>'8'!F45-F46</f>
      </c>
      <c r="I10" s="319">
        <f>'8'!F31</f>
      </c>
      <c r="J10" s="318">
        <f>'8'!F15</f>
      </c>
      <c r="K10" s="150">
        <f t="shared" si="0"/>
      </c>
      <c r="L10" s="323">
        <f>'8'!Z10</f>
      </c>
    </row>
    <row r="11" spans="1:12" ht="15.5" x14ac:dyDescent="0.35">
      <c r="A11" s="327">
        <v>9</v>
      </c>
      <c r="B11" s="325">
        <f>'9'!L7</f>
      </c>
      <c r="C11" s="318">
        <f>'9'!F16</f>
      </c>
      <c r="D11" s="318">
        <f>'9'!F17</f>
      </c>
      <c r="E11" s="318">
        <f>'9'!L12</f>
      </c>
      <c r="F11" s="318">
        <f>'9'!Z30</f>
      </c>
      <c r="G11" s="318">
        <f>'9'!Z9</f>
      </c>
      <c r="H11" s="318">
        <f>'9'!F45-F46</f>
      </c>
      <c r="I11" s="319">
        <f>'9'!F31</f>
      </c>
      <c r="J11" s="318">
        <f>'9'!F15</f>
      </c>
      <c r="K11" s="150">
        <f t="shared" si="0"/>
      </c>
      <c r="L11" s="323">
        <f>'9'!Z10</f>
      </c>
    </row>
    <row r="12" spans="1:12" ht="15.5" x14ac:dyDescent="0.35">
      <c r="A12" s="327">
        <v>10</v>
      </c>
      <c r="B12" s="325">
        <f>'10'!L7</f>
      </c>
      <c r="C12" s="318">
        <f>'10'!F16</f>
      </c>
      <c r="D12" s="318">
        <f>'10'!F17</f>
      </c>
      <c r="E12" s="318">
        <f>'10'!L12</f>
      </c>
      <c r="F12" s="318">
        <f>'10'!Z30</f>
      </c>
      <c r="G12" s="318">
        <f>'10'!Z9</f>
      </c>
      <c r="H12" s="318">
        <f>'10'!F45-F46</f>
      </c>
      <c r="I12" s="319">
        <f>'10'!F31</f>
      </c>
      <c r="J12" s="318">
        <f>'10'!F15</f>
      </c>
      <c r="K12" s="150">
        <f t="shared" si="0"/>
      </c>
      <c r="L12" s="323">
        <f>'10'!Z10</f>
      </c>
    </row>
    <row r="13" spans="1:12" ht="15.5" x14ac:dyDescent="0.35">
      <c r="A13" s="327">
        <v>11</v>
      </c>
      <c r="B13" s="325">
        <f>'11'!L7</f>
      </c>
      <c r="C13" s="318">
        <f>'11'!F16</f>
      </c>
      <c r="D13" s="318">
        <f>'11'!F17</f>
      </c>
      <c r="E13" s="318">
        <f>'11'!L12</f>
      </c>
      <c r="F13" s="318">
        <f>'11'!Z30</f>
      </c>
      <c r="G13" s="318">
        <f>'11'!Z9</f>
      </c>
      <c r="H13" s="318">
        <f>'11'!F45-F46</f>
      </c>
      <c r="I13" s="319">
        <f>'11'!F31</f>
      </c>
      <c r="J13" s="318">
        <f>'11'!F15</f>
      </c>
      <c r="K13" s="150">
        <f t="shared" si="0"/>
      </c>
      <c r="L13" s="323">
        <f>'11'!Z10</f>
      </c>
    </row>
    <row r="14" spans="1:12" ht="15.5" x14ac:dyDescent="0.35">
      <c r="A14" s="327">
        <v>12</v>
      </c>
      <c r="B14" s="325">
        <f>'12'!L7</f>
      </c>
      <c r="C14" s="318">
        <f>'12'!F16</f>
      </c>
      <c r="D14" s="318">
        <f>'12'!F17</f>
      </c>
      <c r="E14" s="318">
        <f>'12'!L12</f>
      </c>
      <c r="F14" s="318">
        <f>'12'!Z30</f>
      </c>
      <c r="G14" s="318">
        <f>'12'!Z9</f>
      </c>
      <c r="H14" s="318">
        <f>'12'!F45-F46</f>
      </c>
      <c r="I14" s="319">
        <f>'12'!F31</f>
      </c>
      <c r="J14" s="318">
        <f>'12'!F15</f>
      </c>
      <c r="K14" s="150">
        <f t="shared" si="0"/>
      </c>
      <c r="L14" s="323">
        <f>'12'!Z10</f>
      </c>
    </row>
    <row r="15" spans="1:12" ht="15.5" x14ac:dyDescent="0.35">
      <c r="A15" s="327">
        <v>13</v>
      </c>
      <c r="B15" s="325">
        <f>'13'!L7</f>
      </c>
      <c r="C15" s="318">
        <f>'13'!F16</f>
      </c>
      <c r="D15" s="318">
        <f>'13'!F17</f>
      </c>
      <c r="E15" s="318">
        <f>'13'!L12</f>
      </c>
      <c r="F15" s="318">
        <f>'13'!Z30</f>
      </c>
      <c r="G15" s="318">
        <f>'13'!Z9</f>
      </c>
      <c r="H15" s="318">
        <f>'13'!F45-F46</f>
      </c>
      <c r="I15" s="319">
        <f>'13'!F31</f>
      </c>
      <c r="J15" s="318">
        <f>'13'!F15</f>
      </c>
      <c r="K15" s="150">
        <f t="shared" si="0"/>
      </c>
      <c r="L15" s="323">
        <f>'13'!Z10</f>
      </c>
    </row>
    <row r="16" spans="1:12" ht="15.5" x14ac:dyDescent="0.35">
      <c r="A16" s="327">
        <v>14</v>
      </c>
      <c r="B16" s="325">
        <f>'14'!L7</f>
      </c>
      <c r="C16" s="318">
        <f>'14'!F16</f>
      </c>
      <c r="D16" s="318">
        <f>'14'!F17</f>
      </c>
      <c r="E16" s="318">
        <f>'14'!L12</f>
      </c>
      <c r="F16" s="318">
        <f>'14'!Z30</f>
      </c>
      <c r="G16" s="318">
        <f>'14'!Z9</f>
      </c>
      <c r="H16" s="318">
        <f>'14'!F45-F46</f>
      </c>
      <c r="I16" s="319">
        <f>'14'!F31</f>
      </c>
      <c r="J16" s="318">
        <f>'14'!F15</f>
      </c>
      <c r="K16" s="150">
        <f t="shared" si="0"/>
      </c>
      <c r="L16" s="323">
        <f>'14'!Z10</f>
      </c>
    </row>
    <row r="17" spans="1:12" ht="15.5" x14ac:dyDescent="0.35">
      <c r="A17" s="327">
        <v>15</v>
      </c>
      <c r="B17" s="325">
        <f>'15'!L7</f>
      </c>
      <c r="C17" s="318">
        <f>'15'!F16</f>
      </c>
      <c r="D17" s="318">
        <f>'15'!F17</f>
      </c>
      <c r="E17" s="318">
        <f>'15'!L12</f>
      </c>
      <c r="F17" s="318">
        <f>'15'!Z30</f>
      </c>
      <c r="G17" s="318">
        <f>'15'!Z9</f>
      </c>
      <c r="H17" s="318">
        <f>'15'!F45-F46</f>
      </c>
      <c r="I17" s="319">
        <f>'15'!F31</f>
      </c>
      <c r="J17" s="318">
        <f>'15'!F15</f>
      </c>
      <c r="K17" s="150">
        <f t="shared" si="0"/>
      </c>
      <c r="L17" s="323">
        <f>'15'!Z10</f>
      </c>
    </row>
    <row r="18" spans="1:12" ht="15.5" x14ac:dyDescent="0.35">
      <c r="A18" s="327">
        <v>16</v>
      </c>
      <c r="B18" s="325">
        <f>'16'!L7</f>
      </c>
      <c r="C18" s="318">
        <f>'16'!F16</f>
      </c>
      <c r="D18" s="318">
        <f>'16'!F17</f>
      </c>
      <c r="E18" s="318">
        <f>'16'!L12</f>
      </c>
      <c r="F18" s="318">
        <f>'16'!Z30</f>
      </c>
      <c r="G18" s="318">
        <f>'16'!Z9</f>
      </c>
      <c r="H18" s="318">
        <f>'16'!F45-F46</f>
      </c>
      <c r="I18" s="319">
        <f>'16'!F31</f>
      </c>
      <c r="J18" s="318">
        <f>'16'!F15</f>
      </c>
      <c r="K18" s="150">
        <f t="shared" si="0"/>
      </c>
      <c r="L18" s="323">
        <f>'16'!Z10</f>
      </c>
    </row>
    <row r="19" spans="1:12" ht="15.5" x14ac:dyDescent="0.35">
      <c r="A19" s="327">
        <v>17</v>
      </c>
      <c r="B19" s="325">
        <f>'17'!L7</f>
      </c>
      <c r="C19" s="318">
        <f>'17'!F16</f>
      </c>
      <c r="D19" s="318">
        <f>'17'!F17</f>
      </c>
      <c r="E19" s="318">
        <f>'17'!L12</f>
      </c>
      <c r="F19" s="318">
        <f>'17'!Z30</f>
      </c>
      <c r="G19" s="318">
        <f>'17'!Z9</f>
      </c>
      <c r="H19" s="318">
        <f>'17'!F45-F46</f>
      </c>
      <c r="I19" s="319">
        <f>'17'!F31</f>
      </c>
      <c r="J19" s="318">
        <f>'17'!F15</f>
      </c>
      <c r="K19" s="150">
        <f t="shared" si="0"/>
      </c>
      <c r="L19" s="323">
        <f>'17'!Z10</f>
      </c>
    </row>
    <row r="20" spans="1:12" ht="15.5" x14ac:dyDescent="0.35">
      <c r="A20" s="327">
        <v>18</v>
      </c>
      <c r="B20" s="325">
        <f>'18'!L7</f>
      </c>
      <c r="C20" s="318">
        <f>'18'!F16</f>
      </c>
      <c r="D20" s="318">
        <f>'18'!F17</f>
      </c>
      <c r="E20" s="318">
        <f>'18'!L12</f>
      </c>
      <c r="F20" s="318">
        <f>'18'!Z30</f>
      </c>
      <c r="G20" s="318">
        <f>'18'!Z9</f>
      </c>
      <c r="H20" s="318">
        <f>'18'!F45-F46</f>
      </c>
      <c r="I20" s="319">
        <f>'18'!F31</f>
      </c>
      <c r="J20" s="318">
        <f>'18'!F15</f>
      </c>
      <c r="K20" s="150">
        <f t="shared" si="0"/>
      </c>
      <c r="L20" s="323">
        <f>'18'!Z10</f>
      </c>
    </row>
    <row r="21" spans="1:12" ht="15.5" x14ac:dyDescent="0.35">
      <c r="A21" s="327">
        <v>19</v>
      </c>
      <c r="B21" s="325">
        <f>'19'!L7</f>
      </c>
      <c r="C21" s="318">
        <f>'19'!F16</f>
      </c>
      <c r="D21" s="318">
        <f>'19'!F17</f>
      </c>
      <c r="E21" s="318">
        <f>'19'!L12</f>
      </c>
      <c r="F21" s="318">
        <f>'19'!Z30</f>
      </c>
      <c r="G21" s="318">
        <f>'19'!Z9</f>
      </c>
      <c r="H21" s="318">
        <f>'19'!F45-F46</f>
      </c>
      <c r="I21" s="319">
        <f>'19'!F31</f>
      </c>
      <c r="J21" s="318">
        <f>'19'!F15</f>
      </c>
      <c r="K21" s="150">
        <f t="shared" si="0"/>
      </c>
      <c r="L21" s="323">
        <f>'19'!Z10</f>
      </c>
    </row>
    <row r="22" spans="1:12" ht="15.5" x14ac:dyDescent="0.35">
      <c r="A22" s="327">
        <v>20</v>
      </c>
      <c r="B22" s="325">
        <f>'20'!L7</f>
      </c>
      <c r="C22" s="318">
        <f>'20'!F16</f>
      </c>
      <c r="D22" s="318">
        <f>'20'!F17</f>
      </c>
      <c r="E22" s="318">
        <f>'20'!L12</f>
      </c>
      <c r="F22" s="318">
        <f>'20'!Z30</f>
      </c>
      <c r="G22" s="318">
        <f>'20'!Z9</f>
      </c>
      <c r="H22" s="318">
        <f>'20'!F45-F46</f>
      </c>
      <c r="I22" s="319">
        <f>'20'!F31</f>
      </c>
      <c r="J22" s="318">
        <f>'20'!F15</f>
      </c>
      <c r="K22" s="150">
        <f t="shared" si="0"/>
      </c>
      <c r="L22" s="323">
        <f>'20'!Z10</f>
      </c>
    </row>
    <row r="23" spans="1:12" ht="15.5" x14ac:dyDescent="0.35">
      <c r="A23" s="327">
        <v>21</v>
      </c>
      <c r="B23" s="325">
        <f>'21'!L7</f>
      </c>
      <c r="C23" s="318">
        <f>'21'!F16</f>
      </c>
      <c r="D23" s="318">
        <f>'21'!F17</f>
      </c>
      <c r="E23" s="318">
        <f>'21'!L12</f>
      </c>
      <c r="F23" s="318">
        <f>'21'!Z30</f>
      </c>
      <c r="G23" s="318">
        <f>'21'!Z9</f>
      </c>
      <c r="H23" s="318">
        <f>'21'!F45-F46</f>
      </c>
      <c r="I23" s="319">
        <f>'21'!F31</f>
      </c>
      <c r="J23" s="318">
        <f>'21'!F15</f>
      </c>
      <c r="K23" s="150">
        <f t="shared" si="0"/>
      </c>
      <c r="L23" s="323">
        <f>'21'!Z10</f>
      </c>
    </row>
    <row r="24" spans="1:12" ht="15.5" x14ac:dyDescent="0.35">
      <c r="A24" s="327">
        <v>22</v>
      </c>
      <c r="B24" s="325">
        <f>'22'!L7</f>
      </c>
      <c r="C24" s="318">
        <f>'22'!F16</f>
      </c>
      <c r="D24" s="318">
        <f>'22'!F17</f>
      </c>
      <c r="E24" s="318">
        <f>'22'!L12</f>
      </c>
      <c r="F24" s="318">
        <f>'22'!Z30</f>
      </c>
      <c r="G24" s="318">
        <f>'22'!Z9</f>
      </c>
      <c r="H24" s="318">
        <f>'22'!F45-F46</f>
      </c>
      <c r="I24" s="319">
        <f>'22'!F31</f>
      </c>
      <c r="J24" s="318">
        <f>'22'!F15</f>
      </c>
      <c r="K24" s="150">
        <f t="shared" si="0"/>
      </c>
      <c r="L24" s="323">
        <f>'22'!Z10</f>
      </c>
    </row>
    <row r="25" spans="1:12" ht="15.5" x14ac:dyDescent="0.35">
      <c r="A25" s="327">
        <v>23</v>
      </c>
      <c r="B25" s="325">
        <f>'23'!L7</f>
      </c>
      <c r="C25" s="318">
        <f>'23'!F16</f>
      </c>
      <c r="D25" s="318">
        <f>'23'!F17</f>
      </c>
      <c r="E25" s="318">
        <f>'23'!L12</f>
      </c>
      <c r="F25" s="318">
        <f>'23'!Z30</f>
      </c>
      <c r="G25" s="318">
        <f>'23'!Z9</f>
      </c>
      <c r="H25" s="318">
        <f>'23'!F45-F46</f>
      </c>
      <c r="I25" s="319">
        <f>'23'!F31</f>
      </c>
      <c r="J25" s="318">
        <f>'23'!F15</f>
      </c>
      <c r="K25" s="150">
        <f t="shared" si="0"/>
      </c>
      <c r="L25" s="323">
        <f>'23'!Z10</f>
      </c>
    </row>
    <row r="26" spans="1:12" ht="15.5" x14ac:dyDescent="0.35">
      <c r="A26" s="327">
        <v>24</v>
      </c>
      <c r="B26" s="325">
        <f>'24'!L7</f>
      </c>
      <c r="C26" s="318">
        <f>'24'!F16</f>
      </c>
      <c r="D26" s="318">
        <f>'24'!F17</f>
      </c>
      <c r="E26" s="318">
        <f>'24'!L12</f>
      </c>
      <c r="F26" s="318">
        <f>'24'!Z30</f>
      </c>
      <c r="G26" s="318">
        <f>'24'!Z9</f>
      </c>
      <c r="H26" s="318">
        <f>'24'!F45-F46</f>
      </c>
      <c r="I26" s="319">
        <f>'24'!F31</f>
      </c>
      <c r="J26" s="318">
        <f>'24'!F15</f>
      </c>
      <c r="K26" s="150">
        <f t="shared" si="0"/>
      </c>
      <c r="L26" s="323">
        <f>'24'!Z10</f>
      </c>
    </row>
    <row r="27" spans="1:12" ht="15.5" x14ac:dyDescent="0.35">
      <c r="A27" s="327">
        <v>25</v>
      </c>
      <c r="B27" s="325">
        <f>'25'!L7</f>
      </c>
      <c r="C27" s="318">
        <f>'25'!F16</f>
      </c>
      <c r="D27" s="318">
        <f>'25'!F17</f>
      </c>
      <c r="E27" s="318">
        <f>'25'!L12</f>
      </c>
      <c r="F27" s="318">
        <f>'25'!Z30</f>
      </c>
      <c r="G27" s="318">
        <f>'25'!Z9</f>
      </c>
      <c r="H27" s="318">
        <f>'25'!F45-F46</f>
      </c>
      <c r="I27" s="319">
        <f>'25'!F31</f>
      </c>
      <c r="J27" s="318">
        <f>'25'!F15</f>
      </c>
      <c r="K27" s="150">
        <f t="shared" si="0"/>
      </c>
      <c r="L27" s="323">
        <f>'25'!Z10</f>
      </c>
    </row>
    <row r="28" spans="1:12" ht="15.5" x14ac:dyDescent="0.35">
      <c r="A28" s="327">
        <v>26</v>
      </c>
      <c r="B28" s="325">
        <f>'26'!L7</f>
      </c>
      <c r="C28" s="318">
        <f>'26'!F16</f>
      </c>
      <c r="D28" s="318">
        <f>'26'!F17</f>
      </c>
      <c r="E28" s="318">
        <f>'26'!L12</f>
      </c>
      <c r="F28" s="318">
        <f>'26'!Z30</f>
      </c>
      <c r="G28" s="318">
        <f>'26'!Z9</f>
      </c>
      <c r="H28" s="318">
        <f>'26'!F45-F46</f>
      </c>
      <c r="I28" s="319">
        <f>'26'!F31</f>
      </c>
      <c r="J28" s="318">
        <f>'26'!F15</f>
      </c>
      <c r="K28" s="150">
        <f t="shared" si="0"/>
      </c>
      <c r="L28" s="323">
        <f>'26'!Z10</f>
      </c>
    </row>
    <row r="29" spans="1:12" ht="15.5" x14ac:dyDescent="0.35">
      <c r="A29" s="327">
        <v>27</v>
      </c>
      <c r="B29" s="325">
        <f>'27'!L7</f>
      </c>
      <c r="C29" s="318">
        <f>'27'!F16</f>
      </c>
      <c r="D29" s="318">
        <f>'27'!F17</f>
      </c>
      <c r="E29" s="318">
        <f>'27'!L12</f>
      </c>
      <c r="F29" s="318">
        <f>'27'!Z30</f>
      </c>
      <c r="G29" s="318">
        <f>'27'!Z9</f>
      </c>
      <c r="H29" s="318">
        <f>'27'!F45-F46</f>
      </c>
      <c r="I29" s="319">
        <f>'27'!F31</f>
      </c>
      <c r="J29" s="318">
        <f>'27'!F15</f>
      </c>
      <c r="K29" s="150">
        <f t="shared" si="0"/>
      </c>
      <c r="L29" s="323">
        <f>'27'!Z10</f>
      </c>
    </row>
    <row r="30" spans="1:12" ht="15.5" x14ac:dyDescent="0.35">
      <c r="A30" s="327">
        <v>28</v>
      </c>
      <c r="B30" s="325">
        <f>'28'!L7</f>
      </c>
      <c r="C30" s="318">
        <f>'28'!F16</f>
      </c>
      <c r="D30" s="318">
        <f>'28'!F17</f>
      </c>
      <c r="E30" s="318">
        <f>'28'!L12</f>
      </c>
      <c r="F30" s="318">
        <f>'28'!Z30</f>
      </c>
      <c r="G30" s="318">
        <f>'28'!Z9</f>
      </c>
      <c r="H30" s="318">
        <f>'28'!F45-F46</f>
      </c>
      <c r="I30" s="319">
        <f>'28'!F31</f>
      </c>
      <c r="J30" s="318">
        <f>'28'!F15</f>
      </c>
      <c r="K30" s="150">
        <f t="shared" si="0"/>
      </c>
      <c r="L30" s="323">
        <f>'28'!Z10</f>
      </c>
    </row>
    <row r="31" spans="1:12" ht="15.5" x14ac:dyDescent="0.35">
      <c r="A31" s="327">
        <v>29</v>
      </c>
      <c r="B31" s="325">
        <f>'29'!L7</f>
      </c>
      <c r="C31" s="318">
        <f>'29'!F16</f>
      </c>
      <c r="D31" s="318">
        <f>'29'!F17</f>
      </c>
      <c r="E31" s="318">
        <f>'29'!L12</f>
      </c>
      <c r="F31" s="318">
        <f>'29'!Z30</f>
      </c>
      <c r="G31" s="318">
        <f>'29'!Z9</f>
      </c>
      <c r="H31" s="318">
        <f>'29'!F45-F46</f>
      </c>
      <c r="I31" s="319">
        <f>'29'!F31</f>
      </c>
      <c r="J31" s="318">
        <f>'29'!F15</f>
      </c>
      <c r="K31" s="150">
        <f t="shared" si="0"/>
      </c>
      <c r="L31" s="323">
        <f>'29'!Z10</f>
      </c>
    </row>
    <row r="32" spans="1:12" ht="15.5" x14ac:dyDescent="0.35">
      <c r="A32" s="327">
        <v>30</v>
      </c>
      <c r="B32" s="325">
        <f>'30'!L7</f>
      </c>
      <c r="C32" s="318">
        <f>'30'!F16</f>
      </c>
      <c r="D32" s="318">
        <f>'30'!F17</f>
      </c>
      <c r="E32" s="318">
        <f>'30'!L12</f>
      </c>
      <c r="F32" s="318">
        <f>'30'!Z30</f>
      </c>
      <c r="G32" s="318">
        <f>'30'!Z9</f>
      </c>
      <c r="H32" s="318">
        <f>'30'!F45-F46</f>
      </c>
      <c r="I32" s="319">
        <f>'30'!F31</f>
      </c>
      <c r="J32" s="318">
        <f>'30'!F15</f>
      </c>
      <c r="K32" s="150">
        <f t="shared" si="0"/>
      </c>
      <c r="L32" s="323">
        <f>'30'!Z10</f>
      </c>
    </row>
    <row r="33" spans="1:12" ht="16" thickBot="1" x14ac:dyDescent="0.4">
      <c r="A33" s="328">
        <v>31</v>
      </c>
      <c r="B33" s="329">
        <f>'31'!L7</f>
      </c>
      <c r="C33" s="330">
        <f>'31'!F16</f>
      </c>
      <c r="D33" s="330">
        <f>'31'!F17</f>
      </c>
      <c r="E33" s="330">
        <f>'31'!L12</f>
      </c>
      <c r="F33" s="330">
        <f>'31'!Z30</f>
      </c>
      <c r="G33" s="330">
        <f>'31'!Z9</f>
      </c>
      <c r="H33" s="330">
        <f>'31'!F45-F46</f>
      </c>
      <c r="I33" s="331">
        <f>'31'!F31</f>
      </c>
      <c r="J33" s="330">
        <f>'31'!F15</f>
      </c>
      <c r="K33" s="332">
        <f t="shared" si="0"/>
      </c>
      <c r="L33" s="333">
        <f>'31'!Z10</f>
      </c>
    </row>
    <row r="34" spans="1:12" ht="21.5" thickBot="1" x14ac:dyDescent="0.4">
      <c r="A34" t="s" s="334">
        <v>138</v>
      </c>
      <c r="B34" s="335">
        <f>SUM(B3:B33)</f>
      </c>
      <c r="C34" s="336">
        <f t="shared" ref="C34:L34" si="1">SUM(C3:C33)</f>
      </c>
      <c r="D34" s="336">
        <f t="shared" si="1"/>
      </c>
      <c r="E34" s="336">
        <f t="shared" si="1"/>
      </c>
      <c r="F34" s="336">
        <f t="shared" si="1"/>
      </c>
      <c r="G34" s="336">
        <f t="shared" si="1"/>
      </c>
      <c r="H34" s="336">
        <f t="shared" si="1"/>
      </c>
      <c r="I34" s="336">
        <f t="shared" si="1"/>
      </c>
      <c r="J34" s="336">
        <f t="shared" si="1"/>
      </c>
      <c r="K34" s="336">
        <f t="shared" si="1"/>
      </c>
      <c r="L34" s="337">
        <f t="shared" si="1"/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6418-7D55-4973-BBFC-5B647779B9A7}">
  <sheetPr codeName="Sheet12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v>45658</v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t="s" s="609">
        <v>334</v>
      </c>
      <c r="P5" s="609"/>
      <c r="Q5" s="609"/>
      <c r="R5" s="263"/>
      <c r="S5" t="s" s="609">
        <v>335</v>
      </c>
      <c r="T5" s="609"/>
      <c r="U5" s="609"/>
      <c r="V5" s="263"/>
      <c r="W5" t="s" s="609">
        <v>336</v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323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495">
        <v>31</v>
      </c>
      <c r="D20" s="496"/>
      <c r="E20" t="s" s="499">
        <v>32</v>
      </c>
      <c r="F20" s="499"/>
      <c r="G20" s="499"/>
      <c r="H20" s="501">
        <v>0</v>
      </c>
      <c r="I20" t="s" s="499">
        <v>33</v>
      </c>
      <c r="J20" s="499"/>
      <c r="K20" s="499"/>
      <c r="L20" s="499"/>
      <c r="M20" s="499"/>
      <c r="N20" s="499"/>
      <c r="O20" s="499"/>
      <c r="P20" s="501">
        <v>0</v>
      </c>
      <c r="Q20" s="501"/>
      <c r="R20" s="501"/>
      <c r="S20" t="s" s="499">
        <v>34</v>
      </c>
      <c r="T20" s="499"/>
      <c r="U20" s="499"/>
      <c r="V20" s="499"/>
      <c r="W20" s="499"/>
      <c r="X20" s="499"/>
      <c r="Y20" s="499"/>
      <c r="Z20" s="501">
        <v>0</v>
      </c>
      <c r="AA20" s="501"/>
      <c r="AB20" s="503"/>
    </row>
    <row r="21" spans="3:28" s="199" customFormat="1" ht="12" x14ac:dyDescent="0.3">
      <c r="C21" s="497"/>
      <c r="D21" s="498"/>
      <c r="E21" s="500"/>
      <c r="F21" s="500"/>
      <c r="G21" s="500"/>
      <c r="H21" s="502"/>
      <c r="I21" s="500"/>
      <c r="J21" s="500"/>
      <c r="K21" s="500"/>
      <c r="L21" s="500"/>
      <c r="M21" s="500"/>
      <c r="N21" s="500"/>
      <c r="O21" s="500"/>
      <c r="P21" s="502"/>
      <c r="Q21" s="502"/>
      <c r="R21" s="502"/>
      <c r="S21" s="500"/>
      <c r="T21" s="500"/>
      <c r="U21" s="500"/>
      <c r="V21" s="500"/>
      <c r="W21" s="500"/>
      <c r="X21" s="500"/>
      <c r="Y21" s="500"/>
      <c r="Z21" s="502"/>
      <c r="AA21" s="502"/>
      <c r="AB21" s="504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505">
        <v>36</v>
      </c>
      <c r="J22" s="505"/>
      <c r="K22" s="505"/>
      <c r="L22" s="505"/>
      <c r="M22" s="505"/>
      <c r="N22" s="505"/>
      <c r="O22" s="505"/>
      <c r="P22" s="505"/>
      <c r="Q22" s="505"/>
      <c r="R22" s="505"/>
      <c r="S22" s="505"/>
      <c r="T22" s="505"/>
      <c r="U22" s="505"/>
      <c r="V22" s="505"/>
      <c r="W22" s="505"/>
      <c r="X22" s="505"/>
      <c r="Y22" s="505"/>
      <c r="Z22" s="505"/>
      <c r="AA22" s="505"/>
      <c r="AB22" s="506"/>
    </row>
    <row r="23" spans="3:28" s="199" customFormat="1" ht="15" customHeight="1" x14ac:dyDescent="0.3">
      <c r="C23" t="s" s="446">
        <v>318</v>
      </c>
      <c r="D23" s="447"/>
      <c r="E23" s="338"/>
      <c r="F23" s="338"/>
      <c r="G23" s="338"/>
      <c r="H23" s="338"/>
      <c r="I23" s="505"/>
      <c r="J23" s="505"/>
      <c r="K23" s="505"/>
      <c r="L23" s="505"/>
      <c r="M23" s="505"/>
      <c r="N23" s="505"/>
      <c r="O23" s="505"/>
      <c r="P23" s="505"/>
      <c r="Q23" s="505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6"/>
    </row>
    <row r="24" spans="3:28" s="199" customFormat="1" ht="11.5" customHeight="1" thickBot="1" x14ac:dyDescent="0.35">
      <c r="C24" t="s" s="446">
        <v>319</v>
      </c>
      <c r="D24" s="447"/>
      <c r="E24" s="338"/>
      <c r="F24" s="338"/>
      <c r="G24" s="338"/>
      <c r="H24" s="338"/>
      <c r="I24" s="235">
        <v>1</v>
      </c>
      <c r="J24" s="235">
        <v>2</v>
      </c>
      <c r="K24" s="235">
        <v>3</v>
      </c>
      <c r="L24" s="235">
        <v>4</v>
      </c>
      <c r="M24" s="235">
        <v>5</v>
      </c>
      <c r="N24" s="235">
        <v>6</v>
      </c>
      <c r="O24" s="235">
        <v>7</v>
      </c>
      <c r="P24" s="235">
        <v>8</v>
      </c>
      <c r="Q24" s="235">
        <v>9</v>
      </c>
      <c r="R24" s="235">
        <v>10</v>
      </c>
      <c r="S24" s="235">
        <v>11</v>
      </c>
      <c r="T24" s="235">
        <v>12</v>
      </c>
      <c r="U24" s="235">
        <v>13</v>
      </c>
      <c r="V24" s="235">
        <v>14</v>
      </c>
      <c r="W24" s="235">
        <v>15</v>
      </c>
      <c r="X24" s="235">
        <v>16</v>
      </c>
      <c r="Y24" s="235">
        <v>17</v>
      </c>
      <c r="Z24" s="235">
        <v>18</v>
      </c>
      <c r="AA24" s="235">
        <v>19</v>
      </c>
      <c r="AB24" s="308">
        <v>20</v>
      </c>
    </row>
    <row r="25" spans="3:28" s="199" customFormat="1" ht="12.5" thickBot="1" x14ac:dyDescent="0.35">
      <c r="C25" t="s" s="510">
        <v>41</v>
      </c>
      <c r="D25" s="511"/>
      <c r="E25" s="232"/>
      <c r="F25" s="314"/>
      <c r="G25" s="317"/>
      <c r="H25" s="31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  <c r="AA25" s="305"/>
      <c r="AB25" s="309"/>
    </row>
    <row r="26" spans="3:28" s="199" customFormat="1" ht="12" x14ac:dyDescent="0.3">
      <c r="C26" t="s" s="512">
        <v>42</v>
      </c>
      <c r="D26" s="513"/>
      <c r="E26" s="6"/>
      <c r="F26" s="6"/>
      <c r="G26" s="316"/>
      <c r="H26" s="6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8"/>
    </row>
    <row r="27" spans="3:28" s="199" customFormat="1" ht="12" x14ac:dyDescent="0.3">
      <c r="C27" t="s" s="446">
        <v>43</v>
      </c>
      <c r="D27" s="447"/>
      <c r="E27" s="9">
        <f>E26-E25</f>
      </c>
      <c r="F27" s="9">
        <f>F26-F25</f>
      </c>
      <c r="G27" s="9">
        <f>G26-G25</f>
      </c>
      <c r="H27" s="9">
        <f>H26-H25</f>
      </c>
      <c cm="1" r="I27" s="306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306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306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306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306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306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306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306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306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306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306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306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306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306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306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306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306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306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306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306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455">
        <v>44</v>
      </c>
      <c r="D28" s="456"/>
      <c r="E28" s="233">
        <v>2.999</v>
      </c>
      <c r="F28" s="233">
        <v>2.599</v>
      </c>
      <c r="G28" s="233">
        <v>3.159</v>
      </c>
      <c r="H28" s="233">
        <v>2.859</v>
      </c>
      <c r="I28" s="234">
        <v>20</v>
      </c>
      <c r="J28" s="234">
        <v>5</v>
      </c>
      <c r="K28" s="234">
        <v>5</v>
      </c>
      <c r="L28" s="234">
        <v>5</v>
      </c>
      <c r="M28" s="234">
        <v>2</v>
      </c>
      <c r="N28" s="234">
        <v>2</v>
      </c>
      <c r="O28" s="234">
        <v>1</v>
      </c>
      <c r="P28" s="234">
        <v>1</v>
      </c>
      <c r="Q28" s="234">
        <v>5</v>
      </c>
      <c r="R28" s="234">
        <v>5</v>
      </c>
      <c r="S28" s="234">
        <v>5</v>
      </c>
      <c r="T28" s="234">
        <v>5</v>
      </c>
      <c r="U28" s="234">
        <v>2</v>
      </c>
      <c r="V28" s="234">
        <v>2</v>
      </c>
      <c r="W28" s="234">
        <v>1</v>
      </c>
      <c r="X28" s="234">
        <v>1</v>
      </c>
      <c r="Y28" s="234">
        <v>10</v>
      </c>
      <c r="Z28" s="234">
        <v>10</v>
      </c>
      <c r="AA28" s="234">
        <v>5</v>
      </c>
      <c r="AB28" s="303">
        <v>2</v>
      </c>
    </row>
    <row r="29" spans="3:28" s="199" customFormat="1" ht="12" x14ac:dyDescent="0.3">
      <c r="C29" t="s" s="446">
        <v>45</v>
      </c>
      <c r="D29" s="447"/>
      <c r="E29" s="9">
        <f t="shared" ref="E29:AB29" si="0">E28*E27</f>
      </c>
      <c r="F29" s="9">
        <f t="shared" si="0"/>
      </c>
      <c r="G29" s="9">
        <f t="shared" si="0"/>
      </c>
      <c r="H29" s="9">
        <f t="shared" si="0"/>
      </c>
      <c r="I29" s="307">
        <f t="shared" si="0"/>
      </c>
      <c r="J29" s="307">
        <f t="shared" si="0"/>
      </c>
      <c r="K29" s="307">
        <f t="shared" si="0"/>
      </c>
      <c r="L29" s="307">
        <f t="shared" si="0"/>
      </c>
      <c r="M29" s="307">
        <f t="shared" si="0"/>
      </c>
      <c r="N29" s="307">
        <f t="shared" si="0"/>
      </c>
      <c r="O29" s="307">
        <f t="shared" si="0"/>
      </c>
      <c r="P29" s="307">
        <f t="shared" si="0"/>
      </c>
      <c r="Q29" s="307">
        <f t="shared" si="0"/>
      </c>
      <c r="R29" s="307">
        <f t="shared" si="0"/>
      </c>
      <c r="S29" s="307">
        <f t="shared" si="0"/>
      </c>
      <c r="T29" s="307">
        <f t="shared" si="0"/>
      </c>
      <c r="U29" s="307">
        <f t="shared" si="0"/>
      </c>
      <c r="V29" s="307">
        <f t="shared" si="0"/>
      </c>
      <c r="W29" s="307">
        <f t="shared" si="0"/>
      </c>
      <c r="X29" s="307">
        <f t="shared" si="0"/>
      </c>
      <c r="Y29" s="307">
        <f t="shared" si="0"/>
      </c>
      <c r="Z29" s="307">
        <f t="shared" si="0"/>
      </c>
      <c r="AA29" s="307">
        <f t="shared" si="0"/>
      </c>
      <c r="AB29" s="310">
        <f t="shared" si="0"/>
      </c>
    </row>
    <row r="30" spans="3:28" s="199" customFormat="1" ht="12.5" thickBot="1" x14ac:dyDescent="0.35">
      <c r="C30" t="s" s="457">
        <v>46</v>
      </c>
      <c r="D30" s="458"/>
      <c r="E30" s="458"/>
      <c r="F30" s="459">
        <f>E29+F29+G29+H29</f>
      </c>
      <c r="G30" s="460"/>
      <c r="H30" s="460"/>
      <c r="I30" t="s" s="461">
        <v>47</v>
      </c>
      <c r="J30" s="461"/>
      <c r="K30" s="461"/>
      <c r="L30" s="461"/>
      <c r="M30" s="638">
        <f>SUM(I29:AB29)</f>
      </c>
      <c r="N30" s="638"/>
      <c r="O30" t="s" s="639">
        <v>48</v>
      </c>
      <c r="P30" s="639"/>
      <c r="Q30" s="639"/>
      <c r="R30" s="639"/>
      <c r="S30" s="639"/>
      <c r="T30" s="494"/>
      <c r="U30" s="494"/>
      <c r="V30" t="s" s="458">
        <v>49</v>
      </c>
      <c r="W30" s="458"/>
      <c r="X30" s="458"/>
      <c r="Y30" s="458"/>
      <c r="Z30" s="426">
        <f>T30+Q37</f>
      </c>
      <c r="AA30" s="426"/>
      <c r="AB30" s="427"/>
    </row>
    <row r="31" spans="3:28" s="199" customFormat="1" ht="15.75" customHeight="1" thickBot="1" x14ac:dyDescent="0.35">
      <c r="C31" t="s" s="428">
        <v>50</v>
      </c>
      <c r="D31" s="429"/>
      <c r="E31" s="430"/>
      <c r="F31" s="304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v>10</v>
      </c>
      <c r="J35" s="292">
        <v>10</v>
      </c>
      <c r="K35" s="292">
        <v>10</v>
      </c>
      <c r="L35" s="292">
        <v>20</v>
      </c>
      <c r="M35" s="292">
        <v>20</v>
      </c>
      <c r="N35" s="292">
        <v>20</v>
      </c>
      <c r="O35" s="292">
        <v>20</v>
      </c>
      <c r="P35" s="292">
        <v>10</v>
      </c>
      <c r="Q35" s="292">
        <v>20</v>
      </c>
      <c r="R35" s="292">
        <v>10</v>
      </c>
      <c r="S35" s="292">
        <v>5</v>
      </c>
      <c r="T35" s="292">
        <v>0</v>
      </c>
      <c r="U35" s="292">
        <v>0</v>
      </c>
      <c r="V35" s="292">
        <v>0</v>
      </c>
      <c r="W35" s="292">
        <v>0</v>
      </c>
      <c r="X35" s="292">
        <v>0</v>
      </c>
      <c r="Y35" s="292">
        <v>0</v>
      </c>
      <c r="Z35" s="292">
        <v>0</v>
      </c>
      <c r="AA35" s="292">
        <v>0</v>
      </c>
      <c r="AB35" s="292">
        <v>0</v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80">
        <f>L7</f>
      </c>
      <c r="G41" s="381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11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80">
        <f>F16</f>
      </c>
      <c r="G42" s="381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58">
        <v>13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80">
        <f>F17</f>
      </c>
      <c r="G43" s="381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58">
        <v>14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80">
        <f>L12</f>
      </c>
      <c r="G44" s="381"/>
      <c r="I44" t="s" s="448">
        <v>37</v>
      </c>
      <c r="J44" s="449"/>
      <c r="K44" s="271"/>
      <c r="M44" t="s" s="452">
        <v>37</v>
      </c>
      <c r="N44" s="453"/>
      <c r="O44" s="635"/>
      <c r="P44" s="635"/>
      <c r="Q44" s="636"/>
      <c r="S44" s="258">
        <v>15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80">
        <f>Z30</f>
      </c>
      <c r="G45" s="381"/>
      <c r="S45" s="258">
        <v>16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80">
        <f>Z9</f>
      </c>
      <c r="G46" s="381"/>
      <c r="I46" t="s" s="473">
        <v>316</v>
      </c>
      <c r="J46" s="474"/>
      <c r="K46" s="474"/>
      <c r="L46" s="475"/>
      <c r="M46" s="299"/>
      <c r="N46" t="s" s="467">
        <v>317</v>
      </c>
      <c r="O46" s="468"/>
      <c r="P46" s="468"/>
      <c r="Q46" s="469"/>
      <c r="S46" s="258">
        <v>17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80">
        <f>F45-F46</f>
      </c>
      <c r="G47" s="381"/>
      <c r="I47" t="s" s="450">
        <v>38</v>
      </c>
      <c r="J47" s="451"/>
      <c r="K47" s="451"/>
      <c r="L47" s="300"/>
      <c r="M47" s="298"/>
      <c r="N47" t="s" s="450">
        <v>38</v>
      </c>
      <c r="O47" s="451"/>
      <c r="P47" s="451"/>
      <c r="Q47" s="645"/>
      <c r="S47" s="258">
        <v>18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382">
        <f>F31</f>
      </c>
      <c r="G48" s="383"/>
      <c r="I48" t="s" s="450">
        <v>282</v>
      </c>
      <c r="J48" s="451"/>
      <c r="K48" s="451"/>
      <c r="L48" s="300"/>
      <c r="M48" s="298"/>
      <c r="N48" t="s" s="450">
        <v>282</v>
      </c>
      <c r="O48" s="451"/>
      <c r="P48" s="451"/>
      <c r="Q48" s="645"/>
      <c r="S48" s="258">
        <v>19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80">
        <f>F15</f>
      </c>
      <c r="G49" s="381"/>
      <c r="I49" t="s" s="452">
        <v>37</v>
      </c>
      <c r="J49" s="453"/>
      <c r="K49" s="453"/>
      <c r="L49" s="301"/>
      <c r="M49" s="298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80">
        <f>(128.55+29.42+665.77)/7</f>
      </c>
      <c r="G50" s="381"/>
    </row>
    <row r="51" spans="3:28" ht="15" thickBot="1" x14ac:dyDescent="0.4">
      <c r="C51" t="s" s="492">
        <v>240</v>
      </c>
      <c r="D51" s="493"/>
      <c r="E51" s="493"/>
      <c r="F51" s="384">
        <f>Z10</f>
      </c>
      <c r="G51" s="385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</f>
      </c>
      <c r="G53" s="385"/>
      <c r="I53" t="s" s="441">
        <v>328</v>
      </c>
      <c r="J53" s="420"/>
      <c r="K53" s="420"/>
      <c r="L53" s="238"/>
      <c r="M53" s="418">
        <f>L53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 t="shared" ref="M54:M63" si="3">L54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97"/>
      <c r="M55" s="418">
        <f t="shared" si="3"/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 t="shared" si="3"/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 t="shared" si="3"/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 t="shared" si="3"/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 t="shared" si="3"/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 t="shared" si="3"/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 t="shared" si="3"/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 t="shared" si="3"/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 t="shared" si="3"/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8">
    <mergeCell ref="P49:Q49"/>
    <mergeCell ref="M30:N30"/>
    <mergeCell ref="Z42:AB42"/>
    <mergeCell ref="Z40:AB40"/>
    <mergeCell ref="O30:S30"/>
    <mergeCell ref="S39:AB39"/>
    <mergeCell ref="Z49:AB49"/>
    <mergeCell ref="Z45:AB45"/>
    <mergeCell ref="Z46:AB46"/>
    <mergeCell ref="Z47:AB47"/>
    <mergeCell ref="Z41:AB41"/>
    <mergeCell ref="N48:O48"/>
    <mergeCell ref="N49:O49"/>
    <mergeCell ref="P47:Q47"/>
    <mergeCell ref="P48:Q48"/>
    <mergeCell ref="T40:Y40"/>
    <mergeCell ref="T41:Y41"/>
    <mergeCell ref="T42:Y42"/>
    <mergeCell ref="T43:Y43"/>
    <mergeCell ref="T45:Y45"/>
    <mergeCell ref="F43:G43"/>
    <mergeCell ref="I43:J43"/>
    <mergeCell ref="M43:N43"/>
    <mergeCell ref="O43:Q43"/>
    <mergeCell ref="M44:N44"/>
    <mergeCell ref="O44:Q44"/>
    <mergeCell ref="C12:D12"/>
    <mergeCell ref="I12:K12"/>
    <mergeCell ref="L12:R13"/>
    <mergeCell ref="T12:Y12"/>
    <mergeCell ref="Z12:AB12"/>
    <mergeCell ref="C15:E15"/>
    <mergeCell ref="F15:G15"/>
    <mergeCell ref="H15:K15"/>
    <mergeCell ref="L15:R15"/>
    <mergeCell ref="T15:Y15"/>
    <mergeCell ref="Z15:AB15"/>
    <mergeCell ref="D13:E13"/>
    <mergeCell ref="I13:K13"/>
    <mergeCell ref="T13:Y13"/>
    <mergeCell ref="Z13:AB13"/>
    <mergeCell ref="C14:D14"/>
    <mergeCell ref="H14:K14"/>
    <mergeCell ref="L14:R14"/>
    <mergeCell ref="T14:Y14"/>
    <mergeCell ref="Z14:AB14"/>
    <mergeCell ref="D11:E11"/>
    <mergeCell ref="C6:E6"/>
    <mergeCell ref="F6:G6"/>
    <mergeCell ref="H6:K6"/>
    <mergeCell ref="L6:R6"/>
    <mergeCell ref="S6:U6"/>
    <mergeCell ref="V6:AB6"/>
    <mergeCell ref="G1:S1"/>
    <mergeCell ref="G2:S2"/>
    <mergeCell ref="C5:K5"/>
    <mergeCell ref="C3:D3"/>
    <mergeCell ref="L5:N5"/>
    <mergeCell ref="O5:Q5"/>
    <mergeCell ref="S5:U5"/>
    <mergeCell ref="W5:Y5"/>
    <mergeCell ref="Z5:AB5"/>
    <mergeCell ref="H11:K11"/>
    <mergeCell ref="L11:R11"/>
    <mergeCell ref="T11:Y11"/>
    <mergeCell ref="Z11:AB11"/>
    <mergeCell ref="H9:K9"/>
    <mergeCell ref="L9:R9"/>
    <mergeCell ref="T9:Y9"/>
    <mergeCell ref="Z9:AB9"/>
    <mergeCell ref="C10:D10"/>
    <mergeCell ref="H10:K10"/>
    <mergeCell ref="L10:R10"/>
    <mergeCell ref="T10:Y10"/>
    <mergeCell ref="Z10:AB10"/>
    <mergeCell ref="D9:E9"/>
    <mergeCell ref="Z7:AB7"/>
    <mergeCell ref="C8:E8"/>
    <mergeCell ref="F8:G8"/>
    <mergeCell ref="H8:K8"/>
    <mergeCell ref="L8:R8"/>
    <mergeCell ref="S8:AB8"/>
    <mergeCell ref="C7:E7"/>
    <mergeCell ref="F7:G7"/>
    <mergeCell ref="H7:K7"/>
    <mergeCell ref="L7:R7"/>
    <mergeCell ref="S7:U7"/>
    <mergeCell ref="V7:Y7"/>
    <mergeCell ref="H16:K16"/>
    <mergeCell ref="L16:R16"/>
    <mergeCell ref="T16:Y16"/>
    <mergeCell ref="Z16:AB16"/>
    <mergeCell ref="C16:E16"/>
    <mergeCell ref="F16:G16"/>
    <mergeCell ref="C17:E17"/>
    <mergeCell ref="F17:G17"/>
    <mergeCell ref="H17:K18"/>
    <mergeCell ref="L17:R18"/>
    <mergeCell ref="T17:Y17"/>
    <mergeCell ref="Z17:AB17"/>
    <mergeCell ref="C18:E18"/>
    <mergeCell ref="F18:G18"/>
    <mergeCell ref="S18:Y18"/>
    <mergeCell ref="Z18:AB18"/>
    <mergeCell ref="C20:D21"/>
    <mergeCell ref="E20:G21"/>
    <mergeCell ref="H20:H21"/>
    <mergeCell ref="I20:O21"/>
    <mergeCell ref="P20:R21"/>
    <mergeCell ref="S20:Y21"/>
    <mergeCell ref="Z20:AB21"/>
    <mergeCell ref="I22:AB23"/>
    <mergeCell ref="C48:E48"/>
    <mergeCell ref="T44:Y44"/>
    <mergeCell ref="Z44:AB44"/>
    <mergeCell ref="C44:E44"/>
    <mergeCell ref="Z43:AB43"/>
    <mergeCell ref="T46:Y46"/>
    <mergeCell ref="T47:Y47"/>
    <mergeCell ref="C43:E43"/>
    <mergeCell ref="C45:E45"/>
    <mergeCell ref="C46:E46"/>
    <mergeCell ref="C47:E47"/>
    <mergeCell ref="T48:Y48"/>
    <mergeCell ref="Z48:AB48"/>
    <mergeCell ref="C25:D25"/>
    <mergeCell ref="C26:D26"/>
    <mergeCell ref="C27:D27"/>
    <mergeCell ref="F50:G50"/>
    <mergeCell ref="F51:G51"/>
    <mergeCell ref="I51:P51"/>
    <mergeCell ref="S51:AB51"/>
    <mergeCell ref="I46:L46"/>
    <mergeCell ref="N46:Q46"/>
    <mergeCell ref="N47:O47"/>
    <mergeCell ref="C24:D24"/>
    <mergeCell ref="C36:E36"/>
    <mergeCell ref="K37:P37"/>
    <mergeCell ref="Q37:R37"/>
    <mergeCell ref="C40:G40"/>
    <mergeCell ref="F41:G41"/>
    <mergeCell ref="I41:K41"/>
    <mergeCell ref="M41:Q41"/>
    <mergeCell ref="F42:G42"/>
    <mergeCell ref="I42:J42"/>
    <mergeCell ref="M42:N42"/>
    <mergeCell ref="O42:Q42"/>
    <mergeCell ref="C49:E49"/>
    <mergeCell ref="C50:E50"/>
    <mergeCell ref="C51:E51"/>
    <mergeCell ref="T30:U30"/>
    <mergeCell ref="V30:Y30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  <mergeCell ref="C22:D22"/>
    <mergeCell ref="C23:D23"/>
    <mergeCell ref="I44:J44"/>
    <mergeCell ref="I47:K47"/>
    <mergeCell ref="I48:K48"/>
    <mergeCell ref="I49:K49"/>
    <mergeCell ref="F45:G45"/>
    <mergeCell ref="F46:G46"/>
    <mergeCell ref="F47:G47"/>
    <mergeCell ref="F48:G48"/>
    <mergeCell ref="F49:G49"/>
    <mergeCell ref="C37:E37"/>
    <mergeCell ref="C28:D28"/>
    <mergeCell ref="C29:D29"/>
    <mergeCell ref="C30:E30"/>
    <mergeCell ref="F30:H30"/>
    <mergeCell ref="I30:L30"/>
    <mergeCell ref="F44:G44"/>
    <mergeCell ref="C32:E32"/>
    <mergeCell ref="C41:E41"/>
    <mergeCell ref="C42:E42"/>
    <mergeCell ref="C34:E34"/>
    <mergeCell ref="C35:E35"/>
    <mergeCell ref="I63:K63"/>
    <mergeCell ref="M63:P63"/>
    <mergeCell ref="M64:P64"/>
    <mergeCell ref="I52:K52"/>
    <mergeCell ref="M52:P52"/>
    <mergeCell ref="U49:Y49"/>
    <mergeCell ref="Z30:AB30"/>
    <mergeCell ref="C31:E31"/>
    <mergeCell ref="C52:E52"/>
    <mergeCell ref="F52:G52"/>
    <mergeCell ref="C53:E53"/>
    <mergeCell ref="F53:G53"/>
    <mergeCell ref="I62:K62"/>
    <mergeCell ref="M62:P6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</mergeCells>
  <printOptions horizontalCentered="1"/>
  <pageMargins left="0.25" right="0.2" top="0.25" bottom="0.25" header="0.3" footer="0.3"/>
  <pageSetup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6D19-C237-41FC-B2ED-0AD5125FB9A7}">
  <sheetPr codeName="Sheet13"/>
  <sheetViews>
    <sheetView topLeftCell="A8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'1'!O5:Q5</f>
      </c>
      <c r="P5" s="609"/>
      <c r="Q5" s="609"/>
      <c r="R5" s="263"/>
      <c r="S5" s="609">
        <f>'1'!S5:U5</f>
      </c>
      <c r="T5" s="609"/>
      <c r="U5" s="609"/>
      <c r="V5" s="263"/>
      <c r="W5" s="609">
        <f>'1'!W5:Y5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8"/>
    </row>
    <row r="23" spans="3:28" s="199" customFormat="1" ht="12.5" thickBot="1" x14ac:dyDescent="0.35">
      <c r="C23" t="s" s="446">
        <v>318</v>
      </c>
      <c r="D23" s="447"/>
      <c r="E23" s="311">
        <f>'1'!E24</f>
      </c>
      <c r="F23" s="311">
        <f>'1'!F24</f>
      </c>
      <c r="G23" s="311">
        <f>'1'!G24</f>
      </c>
      <c r="H23" s="311">
        <f>'1'!H24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1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1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'1'!E26</f>
      </c>
      <c r="F25" s="257">
        <f>'1'!F26</f>
      </c>
      <c r="G25" s="257">
        <f>'1'!G26</f>
      </c>
      <c r="H25" s="257">
        <f>'1'!H26</f>
      </c>
      <c r="I25" s="275">
        <f>'1'!I26</f>
      </c>
      <c r="J25" s="275">
        <f>'1'!J26</f>
      </c>
      <c r="K25" s="275">
        <f>'1'!K26</f>
      </c>
      <c r="L25" s="275">
        <f>'1'!L26</f>
      </c>
      <c r="M25" s="275">
        <f>'1'!M26</f>
      </c>
      <c r="N25" s="275">
        <f>'1'!N26</f>
      </c>
      <c r="O25" s="275">
        <f>'1'!O26</f>
      </c>
      <c r="P25" s="275">
        <f>'1'!P26</f>
      </c>
      <c r="Q25" s="275">
        <f>'1'!Q26</f>
      </c>
      <c r="R25" s="275">
        <f>'1'!R26</f>
      </c>
      <c r="S25" s="275">
        <f>'1'!S26</f>
      </c>
      <c r="T25" s="275">
        <f>'1'!T26</f>
      </c>
      <c r="U25" s="275">
        <f>'1'!U26</f>
      </c>
      <c r="V25" s="275">
        <f>'1'!V26</f>
      </c>
      <c r="W25" s="275">
        <f>'1'!W26</f>
      </c>
      <c r="X25" s="275">
        <f>'1'!X26</f>
      </c>
      <c r="Y25" s="275">
        <f>'1'!Y26</f>
      </c>
      <c r="Z25" s="275">
        <f>'1'!Z26</f>
      </c>
      <c r="AA25" s="275">
        <f>'1'!AA26</f>
      </c>
      <c r="AB25" s="275">
        <f>'1'!AB26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'1'!E28</f>
      </c>
      <c r="F28" s="233">
        <f>'1'!F28</f>
      </c>
      <c r="G28" s="233">
        <f>'1'!G28</f>
      </c>
      <c r="H28" s="233">
        <f>'1'!H28</f>
      </c>
      <c r="I28" s="295">
        <f>'1'!I28</f>
      </c>
      <c r="J28" s="295">
        <f>'1'!J28</f>
      </c>
      <c r="K28" s="295">
        <f>'1'!K28</f>
      </c>
      <c r="L28" s="295">
        <f>'1'!L28</f>
      </c>
      <c r="M28" s="295">
        <f>'1'!M28</f>
      </c>
      <c r="N28" s="295">
        <f>'1'!N28</f>
      </c>
      <c r="O28" s="295">
        <f>'1'!O28</f>
      </c>
      <c r="P28" s="295">
        <f>'1'!P28</f>
      </c>
      <c r="Q28" s="295">
        <f>'1'!Q28</f>
      </c>
      <c r="R28" s="295">
        <f>'1'!R28</f>
      </c>
      <c r="S28" s="295">
        <f>'1'!S28</f>
      </c>
      <c r="T28" s="295">
        <f>'1'!T28</f>
      </c>
      <c r="U28" s="295">
        <f>'1'!U28</f>
      </c>
      <c r="V28" s="295">
        <f>'1'!V28</f>
      </c>
      <c r="W28" s="295">
        <f>'1'!W28</f>
      </c>
      <c r="X28" s="295">
        <f>'1'!X28</f>
      </c>
      <c r="Y28" s="295">
        <f>'1'!Y28</f>
      </c>
      <c r="Z28" s="295">
        <f>'1'!Z28</f>
      </c>
      <c r="AA28" s="295">
        <f>'1'!AA28</f>
      </c>
      <c r="AB28" s="295">
        <f>'1'!AB28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'1'!I33</f>
      </c>
      <c r="J32" s="275">
        <f>'1'!J33</f>
      </c>
      <c r="K32" s="275">
        <f>'1'!K33</f>
      </c>
      <c r="L32" s="275">
        <f>'1'!L33</f>
      </c>
      <c r="M32" s="275">
        <f>'1'!M33</f>
      </c>
      <c r="N32" s="275">
        <f>'1'!N33</f>
      </c>
      <c r="O32" s="275">
        <f>'1'!O33</f>
      </c>
      <c r="P32" s="275">
        <f>'1'!P33</f>
      </c>
      <c r="Q32" s="275">
        <f>'1'!Q33</f>
      </c>
      <c r="R32" s="275">
        <f>'1'!R33</f>
      </c>
      <c r="S32" s="275">
        <f>'1'!S33</f>
      </c>
      <c r="T32" s="275">
        <f>'1'!T33</f>
      </c>
      <c r="U32" s="275">
        <f>'1'!U33</f>
      </c>
      <c r="V32" s="275">
        <f>'1'!V33</f>
      </c>
      <c r="W32" s="275">
        <f>'1'!W33</f>
      </c>
      <c r="X32" s="275">
        <f>'1'!X33</f>
      </c>
      <c r="Y32" s="275">
        <f>'1'!Y33</f>
      </c>
      <c r="Z32" s="275">
        <f>'1'!Z33</f>
      </c>
      <c r="AA32" s="275">
        <f>'1'!AA33</f>
      </c>
      <c r="AB32" s="275">
        <f>'1'!AB33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'1'!I35</f>
      </c>
      <c r="J35" s="292">
        <f>'1'!J35</f>
      </c>
      <c r="K35" s="292">
        <f>'1'!K35</f>
      </c>
      <c r="L35" s="292">
        <f>'1'!L35</f>
      </c>
      <c r="M35" s="292">
        <f>'1'!M35</f>
      </c>
      <c r="N35" s="292">
        <f>'1'!N35</f>
      </c>
      <c r="O35" s="292">
        <f>'1'!O35</f>
      </c>
      <c r="P35" s="292">
        <f>'1'!P35</f>
      </c>
      <c r="Q35" s="292">
        <f>'1'!Q35</f>
      </c>
      <c r="R35" s="292">
        <f>'1'!R35</f>
      </c>
      <c r="S35" s="292">
        <f>'1'!S35</f>
      </c>
      <c r="T35" s="292">
        <f>'1'!T35</f>
      </c>
      <c r="U35" s="292">
        <f>'1'!U35</f>
      </c>
      <c r="V35" s="292">
        <f>'1'!V35</f>
      </c>
      <c r="W35" s="292">
        <f>'1'!W35</f>
      </c>
      <c r="X35" s="292">
        <f>'1'!X35</f>
      </c>
      <c r="Y35" s="292">
        <f>'1'!Y35</f>
      </c>
      <c r="Z35" s="292">
        <f>'1'!Z35</f>
      </c>
      <c r="AA35" s="292">
        <f>'1'!AA35</f>
      </c>
      <c r="AB35" s="292">
        <f>'1'!AB35</f>
      </c>
    </row>
    <row r="36" spans="3:28" s="199" customFormat="1" ht="15" customHeight="1" thickBot="1" x14ac:dyDescent="0.35">
      <c r="C36" t="s" s="649">
        <v>263</v>
      </c>
      <c r="D36" s="650"/>
      <c r="E36" s="651"/>
      <c r="F36" s="262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80">
        <f>L7+'1'!F41:G41</f>
      </c>
      <c r="G41" s="381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80">
        <f>F16+'1'!F42:G42</f>
      </c>
      <c r="G42" s="381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80">
        <f>F17+'1'!F43:G43</f>
      </c>
      <c r="G43" s="381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80">
        <f>L12+'1'!F44:G44</f>
      </c>
      <c r="G44" s="381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80">
        <f>Z30+'1'!F45:G45</f>
      </c>
      <c r="G45" s="381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80">
        <f>Z9+'1'!F46:G46</f>
      </c>
      <c r="G46" s="381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80">
        <f>(F45-F46)+'1'!F47:G47</f>
      </c>
      <c r="G47" s="381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382">
        <f>F31+'1'!F48:G48</f>
      </c>
      <c r="G48" s="383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80">
        <f>F15+'1'!F49:G49</f>
      </c>
      <c r="G49" s="381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80">
        <f>(128.55+29.42+665.77)/7+'1'!F50:G50</f>
      </c>
      <c r="G50" s="381"/>
    </row>
    <row r="51" spans="3:28" ht="15" thickBot="1" x14ac:dyDescent="0.4">
      <c r="C51" t="s" s="492">
        <v>240</v>
      </c>
      <c r="D51" s="493"/>
      <c r="E51" s="493"/>
      <c r="F51" s="384">
        <f>Z10+'1'!F51:G51</f>
      </c>
      <c r="G51" s="385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(F7-Z9)+'1'!F53:G53</f>
      </c>
      <c r="G53" s="385"/>
      <c r="I53" t="s" s="441">
        <v>328</v>
      </c>
      <c r="J53" s="420"/>
      <c r="K53" s="420"/>
      <c r="L53" s="238"/>
      <c r="M53" s="418">
        <f>L53+'1'!M53:P53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97"/>
      <c r="M55" s="418">
        <f>L55+'1'!M55:P55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Z49:AB49"/>
    <mergeCell ref="U49:Y49"/>
    <mergeCell ref="C34:E34"/>
    <mergeCell ref="C35:E35"/>
    <mergeCell ref="T40:Y40"/>
    <mergeCell ref="Z40:AB40"/>
    <mergeCell ref="T41:Y41"/>
    <mergeCell ref="Z41:AB41"/>
    <mergeCell ref="T47:Y47"/>
    <mergeCell ref="Z47:AB47"/>
    <mergeCell ref="C47:E47"/>
    <mergeCell ref="Z48:AB48"/>
    <mergeCell ref="N47:O47"/>
    <mergeCell ref="P47:Q47"/>
    <mergeCell ref="N48:O48"/>
    <mergeCell ref="P48:Q48"/>
    <mergeCell ref="N49:O49"/>
    <mergeCell ref="P49:Q49"/>
    <mergeCell ref="O43:Q43"/>
    <mergeCell ref="F44:G44"/>
    <mergeCell ref="M44:N44"/>
    <mergeCell ref="O44:Q44"/>
    <mergeCell ref="K37:P37"/>
    <mergeCell ref="I41:K41"/>
    <mergeCell ref="T30:U30"/>
    <mergeCell ref="V30:Y30"/>
    <mergeCell ref="Z30:AB30"/>
    <mergeCell ref="C31:E31"/>
    <mergeCell ref="C32:E32"/>
    <mergeCell ref="T45:Y45"/>
    <mergeCell ref="Z45:AB45"/>
    <mergeCell ref="T46:Y46"/>
    <mergeCell ref="Z46:AB46"/>
    <mergeCell ref="C45:E45"/>
    <mergeCell ref="C46:E46"/>
    <mergeCell ref="C37:E37"/>
    <mergeCell ref="I30:L30"/>
    <mergeCell ref="M30:N30"/>
    <mergeCell ref="O30:S30"/>
    <mergeCell ref="Z43:AB43"/>
    <mergeCell ref="T44:Y44"/>
    <mergeCell ref="Z44:AB44"/>
    <mergeCell ref="T43:Y43"/>
    <mergeCell ref="T42:Y42"/>
    <mergeCell ref="Z42:AB42"/>
    <mergeCell ref="N46:Q46"/>
    <mergeCell ref="C43:E43"/>
    <mergeCell ref="C44:E44"/>
    <mergeCell ref="C28:D28"/>
    <mergeCell ref="Z18:AB18"/>
    <mergeCell ref="I22:AB23"/>
    <mergeCell ref="C24:D24"/>
    <mergeCell ref="C22:D22"/>
    <mergeCell ref="C23:D23"/>
    <mergeCell ref="C20:D21"/>
    <mergeCell ref="E20:G21"/>
    <mergeCell ref="H20:H21"/>
    <mergeCell ref="I20:O21"/>
    <mergeCell ref="P20:R21"/>
    <mergeCell ref="S20:Y21"/>
    <mergeCell ref="Z20:AB21"/>
    <mergeCell ref="F18:G18"/>
    <mergeCell ref="C26:D26"/>
    <mergeCell ref="C27:D27"/>
    <mergeCell ref="L5:N5"/>
    <mergeCell ref="O5:Q5"/>
    <mergeCell ref="C14:D14"/>
    <mergeCell ref="H14:K14"/>
    <mergeCell ref="L14:R14"/>
    <mergeCell ref="T14:Y14"/>
    <mergeCell ref="Z14:AB14"/>
    <mergeCell ref="T10:Y10"/>
    <mergeCell ref="Z10:AB10"/>
    <mergeCell ref="Z5:AB5"/>
    <mergeCell ref="D11:E11"/>
    <mergeCell ref="H11:K11"/>
    <mergeCell ref="L11:R11"/>
    <mergeCell ref="T11:Y11"/>
    <mergeCell ref="Z11:AB11"/>
    <mergeCell ref="C12:D12"/>
    <mergeCell ref="I12:K12"/>
    <mergeCell ref="L12:R13"/>
    <mergeCell ref="L9:R9"/>
    <mergeCell ref="T9:Y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S5:U5"/>
    <mergeCell ref="W5:Y5"/>
    <mergeCell ref="C17:E17"/>
    <mergeCell ref="F17:G17"/>
    <mergeCell ref="H17:K18"/>
    <mergeCell ref="L17:R18"/>
    <mergeCell ref="T17:Y17"/>
    <mergeCell ref="Z17:AB17"/>
    <mergeCell ref="C18:E18"/>
    <mergeCell ref="S18:Y18"/>
    <mergeCell ref="C25:D25"/>
    <mergeCell ref="Z9:AB9"/>
    <mergeCell ref="C10:D10"/>
    <mergeCell ref="H10:K10"/>
    <mergeCell ref="L10:R10"/>
    <mergeCell ref="C16:E16"/>
    <mergeCell ref="F16:G16"/>
    <mergeCell ref="H16:K16"/>
    <mergeCell ref="L16:R16"/>
    <mergeCell ref="T12:Y12"/>
    <mergeCell ref="Z12:AB12"/>
    <mergeCell ref="D13:E13"/>
    <mergeCell ref="I13:K13"/>
    <mergeCell ref="T13:Y13"/>
    <mergeCell ref="Z13:AB13"/>
    <mergeCell ref="C15:E15"/>
    <mergeCell ref="F15:G15"/>
    <mergeCell ref="H15:K15"/>
    <mergeCell ref="L15:R15"/>
    <mergeCell ref="T15:Y15"/>
    <mergeCell ref="Z15:AB15"/>
    <mergeCell ref="T16:Y16"/>
    <mergeCell ref="Z16:AB16"/>
    <mergeCell ref="D9:E9"/>
    <mergeCell ref="H9:K9"/>
    <mergeCell ref="M41:Q41"/>
    <mergeCell ref="C41:E41"/>
    <mergeCell ref="C29:D29"/>
    <mergeCell ref="C30:E30"/>
    <mergeCell ref="F30:H30"/>
    <mergeCell ref="C36:E36"/>
    <mergeCell ref="M64:P64"/>
    <mergeCell ref="F51:G51"/>
    <mergeCell ref="I51:P51"/>
    <mergeCell ref="F45:G45"/>
    <mergeCell ref="F46:G46"/>
    <mergeCell ref="F47:G47"/>
    <mergeCell ref="F48:G48"/>
    <mergeCell ref="F49:G49"/>
    <mergeCell ref="C51:E51"/>
    <mergeCell ref="F50:G50"/>
    <mergeCell ref="Q37:R37"/>
    <mergeCell ref="C40:G40"/>
    <mergeCell ref="F41:G41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S39:AB39"/>
    <mergeCell ref="C52:E52"/>
    <mergeCell ref="F52:G52"/>
    <mergeCell ref="C53:E53"/>
    <mergeCell ref="F53:G53"/>
    <mergeCell ref="I62:K62"/>
    <mergeCell ref="M62:P62"/>
    <mergeCell ref="I63:K63"/>
    <mergeCell ref="M63:P63"/>
    <mergeCell ref="M61:P61"/>
    <mergeCell ref="C48:E48"/>
    <mergeCell ref="C49:E49"/>
    <mergeCell ref="F42:G42"/>
    <mergeCell ref="I42:J42"/>
    <mergeCell ref="M42:N42"/>
    <mergeCell ref="O42:Q42"/>
    <mergeCell ref="C42:E42"/>
    <mergeCell ref="C50:E50"/>
    <mergeCell ref="T48:Y48"/>
    <mergeCell ref="F43:G43"/>
    <mergeCell ref="I43:J43"/>
    <mergeCell ref="M43:N43"/>
    <mergeCell ref="S51:AB51"/>
    <mergeCell ref="I52:K52"/>
  </mergeCells>
  <printOptions horizontalCentered="1"/>
  <pageMargins left="0.25" right="0.2" top="0.25" bottom="0.25" header="0.3" footer="0.3"/>
  <pageSetup scale="7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42EB-95D0-444D-9803-E056C587B9A7}">
  <sheetPr codeName="Sheet14"/>
  <sheetViews>
    <sheetView topLeftCell="A2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</row>
    <row r="3" spans="3:28" s="199" customFormat="1" ht="19.5" customHeight="1" thickBot="1" x14ac:dyDescent="0.35">
      <c r="C3" t="s" s="776">
        <v>0</v>
      </c>
      <c r="D3" s="777"/>
      <c r="E3" s="267">
        <f>'1'!E3+2</f>
      </c>
      <c r="F3" s="274"/>
      <c r="G3" s="274"/>
      <c r="H3" s="200"/>
    </row>
    <row r="4" spans="3:28" s="199" customFormat="1" ht="12.5" thickBot="1" x14ac:dyDescent="0.35">
      <c r="E4" s="339">
        <f>'2'!E3+1</f>
      </c>
    </row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803"/>
      <c r="L5" t="s" s="778">
        <v>2</v>
      </c>
      <c r="M5" s="779"/>
      <c r="N5" s="780"/>
      <c r="O5" s="609">
        <f>'2'!O5:Q5</f>
      </c>
      <c r="P5" s="609"/>
      <c r="Q5" s="609"/>
      <c r="R5" s="263"/>
      <c r="S5" s="609">
        <f>'2'!S5:U5</f>
      </c>
      <c r="T5" s="609"/>
      <c r="U5" s="609"/>
      <c r="V5" s="263"/>
      <c r="W5" s="609">
        <f>'2'!W5:Y5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804">
        <v>0</v>
      </c>
      <c r="M6" s="805"/>
      <c r="N6" s="805"/>
      <c r="O6" s="805"/>
      <c r="P6" s="805"/>
      <c r="Q6" s="805"/>
      <c r="R6" s="806"/>
      <c r="S6" t="s" s="807">
        <v>0</v>
      </c>
      <c r="T6" s="808"/>
      <c r="U6" s="809"/>
      <c r="V6" s="812">
        <f>E3</f>
      </c>
      <c r="W6" s="813"/>
      <c r="X6" s="813"/>
      <c r="Y6" s="813"/>
      <c r="Z6" s="813"/>
      <c r="AA6" s="813"/>
      <c r="AB6" s="814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815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816">
        <v>7</v>
      </c>
      <c r="T7" s="817"/>
      <c r="U7" s="818"/>
      <c r="V7" s="819">
        <f>VLOOKUP(WEEKDAY(E3),'Ref Cells'!$A:$B,2,0)</f>
      </c>
      <c r="W7" s="820"/>
      <c r="X7" s="820"/>
      <c r="Y7" s="821"/>
      <c r="Z7" s="822">
        <v>0.2916666666666667</v>
      </c>
      <c r="AA7" s="823"/>
      <c r="AB7" s="824"/>
    </row>
    <row r="8" spans="3:28" s="199" customFormat="1" ht="12.5" thickBot="1" x14ac:dyDescent="0.35">
      <c r="C8" t="s" s="810">
        <v>9</v>
      </c>
      <c r="D8" s="769"/>
      <c r="E8" s="770"/>
      <c r="F8" s="562">
        <f>SUM(E27:H27)</f>
      </c>
      <c r="G8" s="563"/>
      <c r="H8" t="s" s="811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732">
        <v>14</v>
      </c>
      <c r="I9" s="733"/>
      <c r="J9" s="733"/>
      <c r="K9" s="734"/>
      <c r="L9" s="566">
        <v>0</v>
      </c>
      <c r="M9" s="567"/>
      <c r="N9" s="567"/>
      <c r="O9" s="567"/>
      <c r="P9" s="567"/>
      <c r="Q9" s="567"/>
      <c r="R9" s="568"/>
      <c r="S9" s="264">
        <v>1</v>
      </c>
      <c r="T9" t="s" s="787">
        <v>5</v>
      </c>
      <c r="U9" s="788"/>
      <c r="V9" s="788"/>
      <c r="W9" s="788"/>
      <c r="X9" s="788"/>
      <c r="Y9" s="789"/>
      <c r="Z9" s="790">
        <v>0</v>
      </c>
      <c r="AA9" s="791"/>
      <c r="AB9" s="792"/>
    </row>
    <row r="10" spans="3:28" s="199" customFormat="1" ht="15.75" customHeight="1" thickBot="1" x14ac:dyDescent="0.35">
      <c r="C10" t="s" s="546">
        <v>15</v>
      </c>
      <c r="D10" s="735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793">
        <f>L7+L8+L9</f>
      </c>
      <c r="M10" s="794"/>
      <c r="N10" s="794"/>
      <c r="O10" s="794"/>
      <c r="P10" s="794"/>
      <c r="Q10" s="794"/>
      <c r="R10" s="795"/>
      <c r="S10" s="258">
        <v>2</v>
      </c>
      <c r="T10" t="s" s="796">
        <v>240</v>
      </c>
      <c r="U10" s="797"/>
      <c r="V10" s="797"/>
      <c r="W10" s="797"/>
      <c r="X10" s="797"/>
      <c r="Y10" s="798"/>
      <c r="Z10" s="620">
        <v>0</v>
      </c>
      <c r="AA10" s="621"/>
      <c r="AB10" s="622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8">
        <v>19</v>
      </c>
      <c r="I11" s="549"/>
      <c r="J11" s="549"/>
      <c r="K11" s="550"/>
      <c r="L11" s="799">
        <f>Z18</f>
      </c>
      <c r="M11" s="800"/>
      <c r="N11" s="800"/>
      <c r="O11" s="800"/>
      <c r="P11" s="800"/>
      <c r="Q11" s="800"/>
      <c r="R11" s="801"/>
      <c r="S11" s="258">
        <v>3</v>
      </c>
      <c r="T11" t="s" s="796">
        <v>217</v>
      </c>
      <c r="U11" s="797"/>
      <c r="V11" s="797"/>
      <c r="W11" s="797"/>
      <c r="X11" s="797"/>
      <c r="Y11" s="798"/>
      <c r="Z11" s="620">
        <v>0</v>
      </c>
      <c r="AA11" s="621"/>
      <c r="AB11" s="622"/>
    </row>
    <row r="12" spans="3:28" s="199" customFormat="1" ht="15" customHeight="1" thickBot="1" x14ac:dyDescent="0.35">
      <c r="C12" t="s" s="546">
        <v>15</v>
      </c>
      <c r="D12" s="735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781">
        <f>I12+I13</f>
      </c>
      <c r="M12" s="782"/>
      <c r="N12" s="782"/>
      <c r="O12" s="782"/>
      <c r="P12" s="782"/>
      <c r="Q12" s="782"/>
      <c r="R12" s="783"/>
      <c r="S12" s="258">
        <v>4</v>
      </c>
      <c r="T12" t="s" s="388">
        <v>333</v>
      </c>
      <c r="U12" s="388"/>
      <c r="V12" s="388"/>
      <c r="W12" s="388"/>
      <c r="X12" s="388"/>
      <c r="Y12" s="388"/>
      <c r="Z12" s="620">
        <v>0</v>
      </c>
      <c r="AA12" s="621"/>
      <c r="AB12" s="622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784"/>
      <c r="M13" s="785"/>
      <c r="N13" s="785"/>
      <c r="O13" s="785"/>
      <c r="P13" s="785"/>
      <c r="Q13" s="785"/>
      <c r="R13" s="786"/>
      <c r="S13" s="258">
        <v>5</v>
      </c>
      <c r="T13" s="744"/>
      <c r="U13" s="733"/>
      <c r="V13" s="733"/>
      <c r="W13" s="733"/>
      <c r="X13" s="733"/>
      <c r="Y13" s="615"/>
      <c r="Z13" s="620">
        <v>0</v>
      </c>
      <c r="AA13" s="621"/>
      <c r="AB13" s="622"/>
    </row>
    <row r="14" spans="3:28" s="199" customFormat="1" ht="15" customHeight="1" thickBot="1" x14ac:dyDescent="0.35">
      <c r="C14" t="s" s="546">
        <v>15</v>
      </c>
      <c r="D14" s="735"/>
      <c r="E14" s="205">
        <v>0</v>
      </c>
      <c r="F14" t="s" s="206">
        <v>16</v>
      </c>
      <c r="G14" s="207">
        <f>D13/E14</f>
      </c>
      <c r="H14" t="s" s="745">
        <v>23</v>
      </c>
      <c r="I14" s="746"/>
      <c r="J14" s="746"/>
      <c r="K14" s="747"/>
      <c r="L14" s="748">
        <v>0</v>
      </c>
      <c r="M14" s="749"/>
      <c r="N14" s="749"/>
      <c r="O14" s="749"/>
      <c r="P14" s="749"/>
      <c r="Q14" s="749"/>
      <c r="R14" s="529"/>
      <c r="S14" s="258">
        <v>6</v>
      </c>
      <c r="T14" s="744"/>
      <c r="U14" s="733"/>
      <c r="V14" s="733"/>
      <c r="W14" s="733"/>
      <c r="X14" s="733"/>
      <c r="Y14" s="615"/>
      <c r="Z14" s="620">
        <v>0</v>
      </c>
      <c r="AA14" s="621"/>
      <c r="AB14" s="622"/>
    </row>
    <row r="15" spans="3:28" s="199" customFormat="1" ht="12.5" thickBot="1" x14ac:dyDescent="0.35">
      <c r="C15" t="s" s="585">
        <v>24</v>
      </c>
      <c r="D15" s="586"/>
      <c r="E15" s="587"/>
      <c r="F15" s="750">
        <v>0</v>
      </c>
      <c r="G15" s="751"/>
      <c r="H15" t="s" s="514">
        <v>25</v>
      </c>
      <c r="I15" s="539"/>
      <c r="J15" s="539"/>
      <c r="K15" s="540"/>
      <c r="L15" s="543">
        <f>L10-L11-L12</f>
      </c>
      <c r="M15" s="544"/>
      <c r="N15" s="544"/>
      <c r="O15" s="544"/>
      <c r="P15" s="544"/>
      <c r="Q15" s="544"/>
      <c r="R15" s="545"/>
      <c r="S15" s="265">
        <v>7</v>
      </c>
      <c r="T15" s="744"/>
      <c r="U15" s="733"/>
      <c r="V15" s="733"/>
      <c r="W15" s="733"/>
      <c r="X15" s="733"/>
      <c r="Y15" s="615"/>
      <c r="Z15" s="620">
        <v>0</v>
      </c>
      <c r="AA15" s="621"/>
      <c r="AB15" s="622"/>
    </row>
    <row r="16" spans="3:28" s="199" customFormat="1" ht="12.5" thickBot="1" x14ac:dyDescent="0.35">
      <c r="C16" t="s" s="572">
        <v>272</v>
      </c>
      <c r="D16" s="573"/>
      <c r="E16" s="574"/>
      <c r="F16" s="523">
        <v>0</v>
      </c>
      <c r="G16" s="524"/>
      <c r="H16" s="514"/>
      <c r="I16" s="539"/>
      <c r="J16" s="539"/>
      <c r="K16" s="540"/>
      <c r="L16" s="543"/>
      <c r="M16" s="544"/>
      <c r="N16" s="544"/>
      <c r="O16" s="544"/>
      <c r="P16" s="544"/>
      <c r="Q16" s="544"/>
      <c r="R16" s="545"/>
      <c r="S16" s="265">
        <v>8</v>
      </c>
      <c r="T16" s="744"/>
      <c r="U16" s="733"/>
      <c r="V16" s="733"/>
      <c r="W16" s="733"/>
      <c r="X16" s="733"/>
      <c r="Y16" s="615"/>
      <c r="Z16" s="620">
        <v>0</v>
      </c>
      <c r="AA16" s="621"/>
      <c r="AB16" s="622"/>
    </row>
    <row r="17" spans="3:28" s="199" customFormat="1" ht="12.5" thickBot="1" x14ac:dyDescent="0.35">
      <c r="C17" t="s" s="546">
        <v>26</v>
      </c>
      <c r="D17" s="754"/>
      <c r="E17" s="735"/>
      <c r="F17" s="528">
        <v>0</v>
      </c>
      <c r="G17" s="755"/>
      <c r="H17" t="s" s="756">
        <v>27</v>
      </c>
      <c r="I17" s="757"/>
      <c r="J17" s="757"/>
      <c r="K17" s="758"/>
      <c r="L17" s="762">
        <f>L14-L15</f>
      </c>
      <c r="M17" s="763"/>
      <c r="N17" s="763"/>
      <c r="O17" s="763"/>
      <c r="P17" s="763"/>
      <c r="Q17" s="763"/>
      <c r="R17" s="764"/>
      <c r="S17" s="266">
        <v>9</v>
      </c>
      <c r="T17" t="s" s="768">
        <v>28</v>
      </c>
      <c r="U17" s="769"/>
      <c r="V17" s="769"/>
      <c r="W17" s="769"/>
      <c r="X17" s="769"/>
      <c r="Y17" s="770"/>
      <c r="Z17" s="528">
        <v>0</v>
      </c>
      <c r="AA17" s="771"/>
      <c r="AB17" s="755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759"/>
      <c r="I18" s="760"/>
      <c r="J18" s="760"/>
      <c r="K18" s="761"/>
      <c r="L18" s="765"/>
      <c r="M18" s="766"/>
      <c r="N18" s="766"/>
      <c r="O18" s="766"/>
      <c r="P18" s="766"/>
      <c r="Q18" s="766"/>
      <c r="R18" s="76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774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77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772">
        <v>35</v>
      </c>
      <c r="D22" s="773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8"/>
    </row>
    <row r="23" spans="3:28" s="199" customFormat="1" ht="12.75" customHeight="1" thickBot="1" x14ac:dyDescent="0.35">
      <c r="C23" t="s" s="682">
        <v>318</v>
      </c>
      <c r="D23" s="741"/>
      <c r="E23" s="311">
        <f>'2'!E24</f>
      </c>
      <c r="F23" s="311">
        <f>'2'!F24</f>
      </c>
      <c r="G23" s="311">
        <f>'2'!G24</f>
      </c>
      <c r="H23" s="311">
        <f>'2'!H24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1"/>
    </row>
    <row r="24" spans="3:28" s="199" customFormat="1" ht="11.5" customHeight="1" thickBot="1" x14ac:dyDescent="0.35">
      <c r="C24" t="s" s="682">
        <v>319</v>
      </c>
      <c r="D24" s="741"/>
      <c r="E24" s="312"/>
      <c r="F24" s="312"/>
      <c r="G24" s="312"/>
      <c r="H24" s="313"/>
      <c r="I24" s="21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742">
        <v>41</v>
      </c>
      <c r="D25" s="743"/>
      <c r="E25" s="257">
        <f>'2'!E26</f>
      </c>
      <c r="F25" s="257">
        <f>'2'!F26</f>
      </c>
      <c r="G25" s="257">
        <f>'2'!G26</f>
      </c>
      <c r="H25" s="257">
        <f>'2'!H26</f>
      </c>
      <c r="I25" s="296">
        <f>'2'!I26</f>
      </c>
      <c r="J25" s="296">
        <f>'2'!J26</f>
      </c>
      <c r="K25" s="296">
        <f>'2'!K26</f>
      </c>
      <c r="L25" s="296">
        <f>'2'!L26</f>
      </c>
      <c r="M25" s="296">
        <f>'2'!M26</f>
      </c>
      <c r="N25" s="296">
        <f>'2'!N26</f>
      </c>
      <c r="O25" s="296">
        <f>'2'!O26</f>
      </c>
      <c r="P25" s="296">
        <f>'2'!P26</f>
      </c>
      <c r="Q25" s="296">
        <f>'2'!Q26</f>
      </c>
      <c r="R25" s="296">
        <f>'2'!R26</f>
      </c>
      <c r="S25" s="296">
        <f>'2'!S26</f>
      </c>
      <c r="T25" s="296">
        <f>'2'!T26</f>
      </c>
      <c r="U25" s="296">
        <f>'2'!U26</f>
      </c>
      <c r="V25" s="296">
        <f>'2'!V26</f>
      </c>
      <c r="W25" s="296">
        <f>'2'!W26</f>
      </c>
      <c r="X25" s="296">
        <f>'2'!X26</f>
      </c>
      <c r="Y25" s="296">
        <f>'2'!Y26</f>
      </c>
      <c r="Z25" s="296">
        <f>'2'!Z26</f>
      </c>
      <c r="AA25" s="296">
        <f>'2'!AA26</f>
      </c>
      <c r="AB25" s="296">
        <f>'2'!AB26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'2'!E28</f>
      </c>
      <c r="F28" s="233">
        <f>'2'!F28</f>
      </c>
      <c r="G28" s="233">
        <f>'2'!G28</f>
      </c>
      <c r="H28" s="233">
        <f>'2'!H28</f>
      </c>
      <c r="I28" s="234">
        <f>'2'!I28</f>
      </c>
      <c r="J28" s="234">
        <f>'2'!J28</f>
      </c>
      <c r="K28" s="234">
        <f>'2'!K28</f>
      </c>
      <c r="L28" s="234">
        <f>'2'!L28</f>
      </c>
      <c r="M28" s="234">
        <f>'2'!M28</f>
      </c>
      <c r="N28" s="234">
        <f>'2'!N28</f>
      </c>
      <c r="O28" s="234">
        <f>'2'!O28</f>
      </c>
      <c r="P28" s="234">
        <f>'2'!P28</f>
      </c>
      <c r="Q28" s="234">
        <f>'2'!Q28</f>
      </c>
      <c r="R28" s="234">
        <f>'2'!R28</f>
      </c>
      <c r="S28" s="234">
        <f>'2'!S28</f>
      </c>
      <c r="T28" s="234">
        <f>'2'!T28</f>
      </c>
      <c r="U28" s="234">
        <f>'2'!U28</f>
      </c>
      <c r="V28" s="234">
        <f>'2'!V28</f>
      </c>
      <c r="W28" s="234">
        <f>'2'!W28</f>
      </c>
      <c r="X28" s="234">
        <f>'2'!X28</f>
      </c>
      <c r="Y28" s="234">
        <f>'2'!Y28</f>
      </c>
      <c r="Z28" s="234">
        <f>'2'!Z28</f>
      </c>
      <c r="AA28" s="234">
        <f>'2'!AA28</f>
      </c>
      <c r="AB28" s="234">
        <f>'2'!AB28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752"/>
      <c r="H30" s="753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'2'!I33</f>
      </c>
      <c r="J32" s="275">
        <f>'2'!J33</f>
      </c>
      <c r="K32" s="275">
        <f>'2'!K33</f>
      </c>
      <c r="L32" s="275">
        <f>'2'!L33</f>
      </c>
      <c r="M32" s="275">
        <f>'2'!M33</f>
      </c>
      <c r="N32" s="275">
        <f>'2'!N33</f>
      </c>
      <c r="O32" s="275">
        <f>'2'!O33</f>
      </c>
      <c r="P32" s="275">
        <f>'2'!P33</f>
      </c>
      <c r="Q32" s="275">
        <f>'2'!Q33</f>
      </c>
      <c r="R32" s="275">
        <f>'2'!R33</f>
      </c>
      <c r="S32" s="275">
        <f>'2'!S33</f>
      </c>
      <c r="T32" s="275">
        <f>'2'!T33</f>
      </c>
      <c r="U32" s="275">
        <f>'2'!U33</f>
      </c>
      <c r="V32" s="275">
        <f>'2'!V33</f>
      </c>
      <c r="W32" s="275">
        <f>'2'!W33</f>
      </c>
      <c r="X32" s="275">
        <f>'2'!X33</f>
      </c>
      <c r="Y32" s="275">
        <f>'2'!Y33</f>
      </c>
      <c r="Z32" s="275">
        <f>'2'!Z33</f>
      </c>
      <c r="AA32" s="275">
        <f>'2'!AA33</f>
      </c>
      <c r="AB32" s="275">
        <f>'2'!AB33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'2'!I35</f>
      </c>
      <c r="J35" s="292">
        <f>'2'!J35</f>
      </c>
      <c r="K35" s="292">
        <f>'2'!K35</f>
      </c>
      <c r="L35" s="292">
        <f>'2'!L35</f>
      </c>
      <c r="M35" s="292">
        <f>'2'!M35</f>
      </c>
      <c r="N35" s="292">
        <f>'2'!N35</f>
      </c>
      <c r="O35" s="292">
        <f>'2'!O35</f>
      </c>
      <c r="P35" s="292">
        <f>'2'!P35</f>
      </c>
      <c r="Q35" s="292">
        <f>'2'!Q35</f>
      </c>
      <c r="R35" s="292">
        <f>'2'!R35</f>
      </c>
      <c r="S35" s="292">
        <f>'2'!S35</f>
      </c>
      <c r="T35" s="292">
        <f>'2'!T35</f>
      </c>
      <c r="U35" s="292">
        <f>'2'!U35</f>
      </c>
      <c r="V35" s="292">
        <f>'2'!V35</f>
      </c>
      <c r="W35" s="292">
        <f>'2'!W35</f>
      </c>
      <c r="X35" s="292">
        <f>'2'!X35</f>
      </c>
      <c r="Y35" s="292">
        <f>'2'!Y35</f>
      </c>
      <c r="Z35" s="292">
        <f>'2'!Z35</f>
      </c>
      <c r="AA35" s="292">
        <f>'2'!AA35</f>
      </c>
      <c r="AB35" s="292">
        <f>'2'!AB35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F36+'2'!F37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729">
        <v>271</v>
      </c>
      <c r="D40" s="730"/>
      <c r="E40" s="730"/>
      <c r="F40" s="730"/>
      <c r="G40" s="731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700">
        <v>264</v>
      </c>
      <c r="D41" s="701"/>
      <c r="E41" s="702"/>
      <c r="F41" s="378">
        <f>L7+'2'!F41:G41</f>
      </c>
      <c r="G41" s="379"/>
      <c r="I41" t="s" s="486">
        <v>311</v>
      </c>
      <c r="J41" s="487"/>
      <c r="K41" s="488"/>
      <c r="M41" t="s" s="486">
        <v>312</v>
      </c>
      <c r="N41" s="487"/>
      <c r="O41" s="487"/>
      <c r="P41" s="487"/>
      <c r="Q41" s="488"/>
      <c r="S41" s="258">
        <v>18</v>
      </c>
      <c r="T41" s="744"/>
      <c r="U41" s="733"/>
      <c r="V41" s="733"/>
      <c r="W41" s="733"/>
      <c r="X41" s="733"/>
      <c r="Y41" s="615"/>
      <c r="Z41" s="620">
        <v>0</v>
      </c>
      <c r="AA41" s="621"/>
      <c r="AB41" s="622"/>
    </row>
    <row r="42" spans="3:28" s="199" customFormat="1" ht="13" x14ac:dyDescent="0.3">
      <c r="C42" t="s" s="700">
        <v>265</v>
      </c>
      <c r="D42" s="701"/>
      <c r="E42" s="702"/>
      <c r="F42" s="378">
        <f>F16+'2'!F42:G42</f>
      </c>
      <c r="G42" s="379"/>
      <c r="I42" t="s" s="489">
        <v>38</v>
      </c>
      <c r="J42" s="490"/>
      <c r="K42" s="268"/>
      <c r="M42" t="s" s="489">
        <v>38</v>
      </c>
      <c r="N42" s="490"/>
      <c r="O42" s="839"/>
      <c r="P42" s="840"/>
      <c r="Q42" s="841"/>
      <c r="S42" s="273">
        <v>19</v>
      </c>
      <c r="T42" s="744"/>
      <c r="U42" s="733"/>
      <c r="V42" s="733"/>
      <c r="W42" s="733"/>
      <c r="X42" s="733"/>
      <c r="Y42" s="615"/>
      <c r="Z42" s="620">
        <v>0</v>
      </c>
      <c r="AA42" s="621"/>
      <c r="AB42" s="622"/>
    </row>
    <row r="43" spans="3:28" s="199" customFormat="1" ht="13" x14ac:dyDescent="0.3">
      <c r="C43" t="s" s="700">
        <v>273</v>
      </c>
      <c r="D43" s="701"/>
      <c r="E43" s="702"/>
      <c r="F43" s="378">
        <f>F17+'2'!F43:G43</f>
      </c>
      <c r="G43" s="379"/>
      <c r="I43" t="s" s="489">
        <v>282</v>
      </c>
      <c r="J43" s="490"/>
      <c r="K43" s="268"/>
      <c r="M43" t="s" s="489">
        <v>282</v>
      </c>
      <c r="N43" s="490"/>
      <c r="O43" s="839"/>
      <c r="P43" s="840"/>
      <c r="Q43" s="841"/>
      <c r="S43" s="273">
        <v>20</v>
      </c>
      <c r="T43" s="744"/>
      <c r="U43" s="733"/>
      <c r="V43" s="733"/>
      <c r="W43" s="733"/>
      <c r="X43" s="733"/>
      <c r="Y43" s="615"/>
      <c r="Z43" s="620">
        <v>0</v>
      </c>
      <c r="AA43" s="621"/>
      <c r="AB43" s="622"/>
    </row>
    <row r="44" spans="3:28" s="199" customFormat="1" ht="13.5" thickBot="1" x14ac:dyDescent="0.35">
      <c r="C44" t="s" s="700">
        <v>270</v>
      </c>
      <c r="D44" s="701"/>
      <c r="E44" s="702"/>
      <c r="F44" s="378">
        <f>L12+'2'!F44:G44</f>
      </c>
      <c r="G44" s="379"/>
      <c r="I44" t="s" s="269">
        <v>37</v>
      </c>
      <c r="J44" s="270"/>
      <c r="K44" s="271"/>
      <c r="M44" t="s" s="448">
        <v>37</v>
      </c>
      <c r="N44" s="449"/>
      <c r="O44" s="842"/>
      <c r="P44" s="843"/>
      <c r="Q44" s="844"/>
      <c r="S44" s="273">
        <v>21</v>
      </c>
      <c r="T44" s="744"/>
      <c r="U44" s="733"/>
      <c r="V44" s="733"/>
      <c r="W44" s="733"/>
      <c r="X44" s="733"/>
      <c r="Y44" s="615"/>
      <c r="Z44" s="620">
        <v>0</v>
      </c>
      <c r="AA44" s="621"/>
      <c r="AB44" s="622"/>
    </row>
    <row r="45" spans="3:28" s="199" customFormat="1" ht="12.5" thickBot="1" x14ac:dyDescent="0.35">
      <c r="C45" t="s" s="700">
        <v>266</v>
      </c>
      <c r="D45" s="701"/>
      <c r="E45" s="702"/>
      <c r="F45" s="378">
        <f>Z30+'2'!F45:G45</f>
      </c>
      <c r="G45" s="379"/>
      <c r="S45" s="273">
        <v>22</v>
      </c>
      <c r="T45" s="744"/>
      <c r="U45" s="733"/>
      <c r="V45" s="733"/>
      <c r="W45" s="733"/>
      <c r="X45" s="733"/>
      <c r="Y45" s="615"/>
      <c r="Z45" s="620">
        <v>0</v>
      </c>
      <c r="AA45" s="621"/>
      <c r="AB45" s="622"/>
    </row>
    <row r="46" spans="3:28" s="199" customFormat="1" x14ac:dyDescent="0.35">
      <c r="C46" t="s" s="700">
        <v>267</v>
      </c>
      <c r="D46" s="701"/>
      <c r="E46" s="702"/>
      <c r="F46" s="378">
        <f>Z9+'2'!F46:G46</f>
      </c>
      <c r="G46" s="379"/>
      <c r="N46" t="s" s="486">
        <v>317</v>
      </c>
      <c r="O46" s="487"/>
      <c r="P46" s="487"/>
      <c r="Q46" s="488"/>
      <c r="S46" s="258">
        <v>23</v>
      </c>
      <c r="T46" s="744"/>
      <c r="U46" s="733"/>
      <c r="V46" s="733"/>
      <c r="W46" s="733"/>
      <c r="X46" s="733"/>
      <c r="Y46" s="615"/>
      <c r="Z46" s="620">
        <v>0</v>
      </c>
      <c r="AA46" s="621"/>
      <c r="AB46" s="622"/>
    </row>
    <row r="47" spans="3:28" s="199" customFormat="1" ht="13" x14ac:dyDescent="0.3">
      <c r="C47" t="s" s="700">
        <v>268</v>
      </c>
      <c r="D47" s="701"/>
      <c r="E47" s="702"/>
      <c r="F47" s="378">
        <f>(F45-F46)+'2'!F47:G47</f>
      </c>
      <c r="G47" s="379"/>
      <c r="N47" t="s" s="489">
        <v>38</v>
      </c>
      <c r="O47" s="490"/>
      <c r="P47" s="703"/>
      <c r="Q47" s="704"/>
      <c r="S47" s="258">
        <v>24</v>
      </c>
      <c r="T47" s="744"/>
      <c r="U47" s="733"/>
      <c r="V47" s="733"/>
      <c r="W47" s="733"/>
      <c r="X47" s="733"/>
      <c r="Y47" s="615"/>
      <c r="Z47" s="620">
        <v>0</v>
      </c>
      <c r="AA47" s="621"/>
      <c r="AB47" s="622"/>
    </row>
    <row r="48" spans="3:28" s="199" customFormat="1" ht="13.5" thickBot="1" x14ac:dyDescent="0.35">
      <c r="C48" t="s" s="700">
        <v>313</v>
      </c>
      <c r="D48" s="701"/>
      <c r="E48" s="702"/>
      <c r="F48" s="829">
        <f>F31+'2'!F48:G48</f>
      </c>
      <c r="G48" s="830"/>
      <c r="N48" t="s" s="489">
        <v>282</v>
      </c>
      <c r="O48" s="490"/>
      <c r="P48" s="703"/>
      <c r="Q48" s="704"/>
      <c r="S48" s="259">
        <v>25</v>
      </c>
      <c r="T48" s="836"/>
      <c r="U48" s="837"/>
      <c r="V48" s="837"/>
      <c r="W48" s="837"/>
      <c r="X48" s="837"/>
      <c r="Y48" s="838"/>
      <c r="Z48" s="828">
        <v>0</v>
      </c>
      <c r="AA48" s="749"/>
      <c r="AB48" s="529"/>
    </row>
    <row r="49" spans="3:28" s="199" customFormat="1" ht="13.5" thickBot="1" x14ac:dyDescent="0.35">
      <c r="C49" t="s" s="700">
        <v>314</v>
      </c>
      <c r="D49" s="701"/>
      <c r="E49" s="702"/>
      <c r="F49" s="378">
        <f>F15+'2'!F49:G49</f>
      </c>
      <c r="G49" s="379"/>
      <c r="N49" t="s" s="448">
        <v>37</v>
      </c>
      <c r="O49" s="449"/>
      <c r="P49" s="831"/>
      <c r="Q49" s="832"/>
      <c r="U49" t="s" s="833">
        <v>238</v>
      </c>
      <c r="V49" s="834"/>
      <c r="W49" s="834"/>
      <c r="X49" s="834"/>
      <c r="Y49" s="835"/>
      <c r="Z49" s="825">
        <f>SUM(Z32:AB48)</f>
      </c>
      <c r="AA49" s="826"/>
      <c r="AB49" s="827"/>
    </row>
    <row r="50" spans="3:28" s="199" customFormat="1" ht="12.5" thickBot="1" x14ac:dyDescent="0.35">
      <c r="C50" t="s" s="700">
        <v>269</v>
      </c>
      <c r="D50" s="701"/>
      <c r="E50" s="702"/>
      <c r="F50" s="378">
        <f>(128.55+29.42+665.77)/7++'2'!F50:G50</f>
      </c>
      <c r="G50" s="379"/>
    </row>
    <row r="51" spans="3:28" ht="15" thickBot="1" x14ac:dyDescent="0.4">
      <c r="C51" t="s" s="697">
        <v>240</v>
      </c>
      <c r="D51" s="698"/>
      <c r="E51" s="699"/>
      <c r="F51" s="739">
        <f>Z10+'2'!F51:G51</f>
      </c>
      <c r="G51" s="740"/>
      <c r="I51" t="s" s="486">
        <v>274</v>
      </c>
      <c r="J51" s="487"/>
      <c r="K51" s="487"/>
      <c r="L51" s="487"/>
      <c r="M51" s="487"/>
      <c r="N51" s="487"/>
      <c r="O51" s="487"/>
      <c r="P51" s="488"/>
      <c r="S51" t="s" s="736">
        <v>257</v>
      </c>
      <c r="T51" s="737"/>
      <c r="U51" s="737"/>
      <c r="V51" s="737"/>
      <c r="W51" s="737"/>
      <c r="X51" s="737"/>
      <c r="Y51" s="737"/>
      <c r="Z51" s="737"/>
      <c r="AA51" s="737"/>
      <c r="AB51" s="738"/>
    </row>
    <row r="52" spans="3:28" ht="15" thickBot="1" x14ac:dyDescent="0.4">
      <c r="C52" t="s" s="431">
        <v>324</v>
      </c>
      <c r="D52" s="431"/>
      <c r="E52" s="431"/>
      <c r="F52" s="384">
        <f>F18+'2'!F52:G52</f>
      </c>
      <c r="G52" s="385"/>
      <c r="I52" t="s" s="848">
        <v>283</v>
      </c>
      <c r="J52" s="706"/>
      <c r="K52" s="849"/>
      <c r="L52" t="s" s="239">
        <v>284</v>
      </c>
      <c r="M52" t="s" s="705">
        <v>138</v>
      </c>
      <c r="N52" s="706"/>
      <c r="O52" s="706"/>
      <c r="P52" s="707"/>
      <c r="S52" s="708"/>
      <c r="T52" s="709"/>
      <c r="U52" s="709"/>
      <c r="V52" s="709"/>
      <c r="W52" s="709"/>
      <c r="X52" s="709"/>
      <c r="Y52" s="709"/>
      <c r="Z52" s="709"/>
      <c r="AA52" s="709"/>
      <c r="AB52" s="710"/>
    </row>
    <row r="53" spans="3:28" ht="15" thickBot="1" x14ac:dyDescent="0.4">
      <c r="C53" t="s" s="431">
        <v>326</v>
      </c>
      <c r="D53" s="431"/>
      <c r="E53" s="431"/>
      <c r="F53" s="384">
        <f>(F7-Z9)+'2'!F53:G53</f>
      </c>
      <c r="G53" s="385"/>
      <c r="I53" t="s" s="717">
        <v>328</v>
      </c>
      <c r="J53" s="718"/>
      <c r="K53" s="719"/>
      <c r="L53" s="238"/>
      <c r="M53" s="720">
        <f>L53+'2'!M53:P53</f>
      </c>
      <c r="N53" s="721"/>
      <c r="O53" s="721"/>
      <c r="P53" s="722"/>
      <c r="S53" s="711"/>
      <c r="T53" s="712"/>
      <c r="U53" s="712"/>
      <c r="V53" s="712"/>
      <c r="W53" s="712"/>
      <c r="X53" s="712"/>
      <c r="Y53" s="712"/>
      <c r="Z53" s="712"/>
      <c r="AA53" s="712"/>
      <c r="AB53" s="713"/>
    </row>
    <row r="54" spans="3:28" x14ac:dyDescent="0.35">
      <c r="I54" t="s" s="717">
        <v>276</v>
      </c>
      <c r="J54" s="718"/>
      <c r="K54" s="719"/>
      <c r="L54" s="238"/>
      <c r="M54" s="720">
        <f>L54+'2'!M54:P54</f>
      </c>
      <c r="N54" s="721"/>
      <c r="O54" s="721"/>
      <c r="P54" s="722"/>
      <c r="S54" s="711"/>
      <c r="T54" s="712"/>
      <c r="U54" s="712"/>
      <c r="V54" s="712"/>
      <c r="W54" s="712"/>
      <c r="X54" s="712"/>
      <c r="Y54" s="712"/>
      <c r="Z54" s="712"/>
      <c r="AA54" s="712"/>
      <c r="AB54" s="713"/>
    </row>
    <row r="55" spans="3:28" ht="28.9" customHeight="1" x14ac:dyDescent="0.35">
      <c r="I55" t="s" s="723">
        <v>285</v>
      </c>
      <c r="J55" s="724"/>
      <c r="K55" s="725"/>
      <c r="L55" s="297"/>
      <c r="M55" s="726">
        <f>L55+'2'!M55:P55</f>
      </c>
      <c r="N55" s="727"/>
      <c r="O55" s="727"/>
      <c r="P55" s="728"/>
      <c r="S55" s="711"/>
      <c r="T55" s="712"/>
      <c r="U55" s="712"/>
      <c r="V55" s="712"/>
      <c r="W55" s="712"/>
      <c r="X55" s="712"/>
      <c r="Y55" s="712"/>
      <c r="Z55" s="712"/>
      <c r="AA55" s="712"/>
      <c r="AB55" s="713"/>
    </row>
    <row r="56" spans="3:28" ht="16.899999999999999" customHeight="1" x14ac:dyDescent="0.35">
      <c r="I56" t="s" s="717">
        <v>277</v>
      </c>
      <c r="J56" s="718"/>
      <c r="K56" s="719"/>
      <c r="L56" s="238"/>
      <c r="M56" s="720">
        <f>L56+'2'!M56:P56</f>
      </c>
      <c r="N56" s="721"/>
      <c r="O56" s="721"/>
      <c r="P56" s="722"/>
      <c r="S56" s="711"/>
      <c r="T56" s="712"/>
      <c r="U56" s="712"/>
      <c r="V56" s="712"/>
      <c r="W56" s="712"/>
      <c r="X56" s="712"/>
      <c r="Y56" s="712"/>
      <c r="Z56" s="712"/>
      <c r="AA56" s="712"/>
      <c r="AB56" s="713"/>
    </row>
    <row r="57" spans="3:28" x14ac:dyDescent="0.35">
      <c r="I57" t="s" s="717">
        <v>278</v>
      </c>
      <c r="J57" s="718"/>
      <c r="K57" s="719"/>
      <c r="L57" s="238"/>
      <c r="M57" s="720">
        <f>L57+'2'!M57:P57</f>
      </c>
      <c r="N57" s="721"/>
      <c r="O57" s="721"/>
      <c r="P57" s="722"/>
      <c r="S57" s="711"/>
      <c r="T57" s="712"/>
      <c r="U57" s="712"/>
      <c r="V57" s="712"/>
      <c r="W57" s="712"/>
      <c r="X57" s="712"/>
      <c r="Y57" s="712"/>
      <c r="Z57" s="712"/>
      <c r="AA57" s="712"/>
      <c r="AB57" s="713"/>
    </row>
    <row r="58" spans="3:28" x14ac:dyDescent="0.35">
      <c r="I58" t="s" s="717">
        <v>279</v>
      </c>
      <c r="J58" s="718"/>
      <c r="K58" s="719"/>
      <c r="L58" s="238"/>
      <c r="M58" s="720">
        <f>L58+'2'!M58:P58</f>
      </c>
      <c r="N58" s="721"/>
      <c r="O58" s="721"/>
      <c r="P58" s="722"/>
      <c r="S58" s="711"/>
      <c r="T58" s="712"/>
      <c r="U58" s="712"/>
      <c r="V58" s="712"/>
      <c r="W58" s="712"/>
      <c r="X58" s="712"/>
      <c r="Y58" s="712"/>
      <c r="Z58" s="712"/>
      <c r="AA58" s="712"/>
      <c r="AB58" s="713"/>
    </row>
    <row r="59" spans="3:28" x14ac:dyDescent="0.35">
      <c r="I59" t="s" s="717">
        <v>280</v>
      </c>
      <c r="J59" s="718"/>
      <c r="K59" s="719"/>
      <c r="L59" s="238"/>
      <c r="M59" s="720">
        <f>L59+'2'!M59:P59</f>
      </c>
      <c r="N59" s="721"/>
      <c r="O59" s="721"/>
      <c r="P59" s="722"/>
      <c r="S59" s="711"/>
      <c r="T59" s="712"/>
      <c r="U59" s="712"/>
      <c r="V59" s="712"/>
      <c r="W59" s="712"/>
      <c r="X59" s="712"/>
      <c r="Y59" s="712"/>
      <c r="Z59" s="712"/>
      <c r="AA59" s="712"/>
      <c r="AB59" s="713"/>
    </row>
    <row r="60" spans="3:28" x14ac:dyDescent="0.35">
      <c r="I60" t="s" s="717">
        <v>281</v>
      </c>
      <c r="J60" s="718"/>
      <c r="K60" s="719"/>
      <c r="L60" s="238"/>
      <c r="M60" s="720">
        <f>L60+'2'!M60:P60</f>
      </c>
      <c r="N60" s="721"/>
      <c r="O60" s="721"/>
      <c r="P60" s="722"/>
      <c r="S60" s="711"/>
      <c r="T60" s="712"/>
      <c r="U60" s="712"/>
      <c r="V60" s="712"/>
      <c r="W60" s="712"/>
      <c r="X60" s="712"/>
      <c r="Y60" s="712"/>
      <c r="Z60" s="712"/>
      <c r="AA60" s="712"/>
      <c r="AB60" s="713"/>
    </row>
    <row r="61" spans="3:28" ht="15" thickBot="1" x14ac:dyDescent="0.4">
      <c r="I61" t="s" s="845">
        <v>287</v>
      </c>
      <c r="J61" s="846"/>
      <c r="K61" s="847"/>
      <c r="L61" s="241"/>
      <c r="M61" s="720">
        <f>L61+'2'!M61:P61</f>
      </c>
      <c r="N61" s="721"/>
      <c r="O61" s="721"/>
      <c r="P61" s="722"/>
      <c r="S61" s="714"/>
      <c r="T61" s="715"/>
      <c r="U61" s="715"/>
      <c r="V61" s="715"/>
      <c r="W61" s="715"/>
      <c r="X61" s="715"/>
      <c r="Y61" s="715"/>
      <c r="Z61" s="715"/>
      <c r="AA61" s="715"/>
      <c r="AB61" s="716"/>
    </row>
    <row r="62" spans="3:28" ht="15" thickBot="1" x14ac:dyDescent="0.4">
      <c r="I62" t="s" s="416">
        <v>327</v>
      </c>
      <c r="J62" s="417"/>
      <c r="K62" s="417"/>
      <c r="L62" s="241"/>
      <c r="M62" s="720">
        <f>L62+'2'!M62:P62</f>
      </c>
      <c r="N62" s="721"/>
      <c r="O62" s="721"/>
      <c r="P62" s="722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720">
        <f>L63+'2'!M63:P63</f>
      </c>
      <c r="N63" s="721"/>
      <c r="O63" s="721"/>
      <c r="P63" s="722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M64:P64"/>
    <mergeCell ref="C37:E37"/>
    <mergeCell ref="C52:E52"/>
    <mergeCell ref="F52:G52"/>
    <mergeCell ref="C53:E53"/>
    <mergeCell ref="F53:G53"/>
    <mergeCell ref="I62:K62"/>
    <mergeCell ref="M62:P62"/>
    <mergeCell ref="I63:K63"/>
    <mergeCell ref="M63:P63"/>
    <mergeCell ref="C45:E45"/>
    <mergeCell ref="C46:E46"/>
    <mergeCell ref="C47:E47"/>
    <mergeCell ref="M60:P60"/>
    <mergeCell ref="I61:K61"/>
    <mergeCell ref="I41:K41"/>
    <mergeCell ref="M41:Q41"/>
    <mergeCell ref="F42:G42"/>
    <mergeCell ref="I42:J42"/>
    <mergeCell ref="M42:N42"/>
    <mergeCell ref="O42:Q42"/>
    <mergeCell ref="C41:E41"/>
    <mergeCell ref="I60:K60"/>
    <mergeCell ref="I52:K52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N48:O48"/>
    <mergeCell ref="P48:Q48"/>
    <mergeCell ref="N49:O49"/>
    <mergeCell ref="P49:Q49"/>
    <mergeCell ref="U49:Y49"/>
    <mergeCell ref="M43:N43"/>
    <mergeCell ref="T48:Y48"/>
    <mergeCell ref="T46:Y46"/>
    <mergeCell ref="T47:Y47"/>
    <mergeCell ref="O43:Q43"/>
    <mergeCell ref="M44:N44"/>
    <mergeCell ref="O44:Q44"/>
    <mergeCell ref="N46:Q46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S5:U5"/>
    <mergeCell ref="W5:Y5"/>
    <mergeCell ref="Z5:AB5"/>
    <mergeCell ref="Z7:AB7"/>
    <mergeCell ref="C3:D3"/>
    <mergeCell ref="L5:N5"/>
    <mergeCell ref="O5:Q5"/>
    <mergeCell ref="I12:K12"/>
    <mergeCell ref="L12:R13"/>
    <mergeCell ref="T12:Y12"/>
    <mergeCell ref="Z12:AB12"/>
    <mergeCell ref="D13:E13"/>
    <mergeCell ref="I13:K13"/>
    <mergeCell ref="T13:Y13"/>
    <mergeCell ref="Z13:AB13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I22:AB2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C22:D22"/>
    <mergeCell ref="C23:D23"/>
    <mergeCell ref="C20:D21"/>
    <mergeCell ref="E20:G21"/>
    <mergeCell ref="S20:Y21"/>
    <mergeCell ref="Z20:AB21"/>
    <mergeCell ref="H20:H21"/>
    <mergeCell ref="V30:Y30"/>
    <mergeCell ref="Z30:AB30"/>
    <mergeCell ref="S39:AB39"/>
    <mergeCell ref="C34:E34"/>
    <mergeCell ref="C32:E32"/>
    <mergeCell ref="C35:E35"/>
    <mergeCell ref="C30:E30"/>
    <mergeCell ref="C31:E31"/>
    <mergeCell ref="F30:H30"/>
    <mergeCell ref="I30:L30"/>
    <mergeCell ref="M30:N30"/>
    <mergeCell ref="O30:S30"/>
    <mergeCell ref="T30:U30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Z15:AB15"/>
    <mergeCell ref="Z41:AB41"/>
    <mergeCell ref="T42:Y42"/>
    <mergeCell ref="Z42:AB42"/>
    <mergeCell ref="T43:Y43"/>
    <mergeCell ref="Z43:AB43"/>
    <mergeCell ref="T44:Y44"/>
    <mergeCell ref="Z44:AB44"/>
    <mergeCell ref="T45:Y45"/>
    <mergeCell ref="Z45:AB45"/>
    <mergeCell ref="T41:Y41"/>
    <mergeCell ref="T40:Y40"/>
    <mergeCell ref="Z40:AB40"/>
    <mergeCell ref="C40:G40"/>
    <mergeCell ref="I20:O21"/>
    <mergeCell ref="P20:R21"/>
    <mergeCell ref="D9:E9"/>
    <mergeCell ref="H9:K9"/>
    <mergeCell ref="C12:D12"/>
    <mergeCell ref="S51:AB51"/>
    <mergeCell ref="F41:G41"/>
    <mergeCell ref="C42:E42"/>
    <mergeCell ref="F51:G51"/>
    <mergeCell ref="I51:P51"/>
    <mergeCell ref="C24:D24"/>
    <mergeCell ref="C36:E36"/>
    <mergeCell ref="K37:P37"/>
    <mergeCell ref="C28:D28"/>
    <mergeCell ref="C29:D29"/>
    <mergeCell ref="C25:D25"/>
    <mergeCell ref="I43:J43"/>
    <mergeCell ref="C26:D26"/>
    <mergeCell ref="C27:D27"/>
    <mergeCell ref="F50:G50"/>
    <mergeCell ref="C50:E50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M61:P61"/>
    <mergeCell ref="C51:E51"/>
    <mergeCell ref="C48:E48"/>
    <mergeCell ref="C49:E49"/>
    <mergeCell ref="N47:O47"/>
    <mergeCell ref="P47:Q47"/>
    <mergeCell ref="C43:E43"/>
    <mergeCell ref="C44:E44"/>
    <mergeCell ref="Q37:R37"/>
    <mergeCell ref="M52:P52"/>
  </mergeCells>
  <printOptions horizontalCentered="1"/>
  <pageMargins left="0.25" right="0.2" top="0.25" bottom="0.25" header="0.3" footer="0.3"/>
  <pageSetup scale="7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BCBC-D47C-4865-BD60-3695B296B9A7}">
  <sheetPr codeName="Sheet15"/>
  <sheetViews>
    <sheetView topLeftCell="A5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'3'!E3+1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'3'!O5:Q5</f>
      </c>
      <c r="P5" s="609"/>
      <c r="Q5" s="609"/>
      <c r="R5" s="263"/>
      <c r="S5" s="609">
        <f>'3'!S5:U5</f>
      </c>
      <c r="T5" s="609"/>
      <c r="U5" s="609"/>
      <c r="V5" s="263"/>
      <c r="W5" s="609">
        <f>'3'!W5:Y5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8"/>
    </row>
    <row r="23" spans="3:28" s="199" customFormat="1" ht="12.5" thickBot="1" x14ac:dyDescent="0.35">
      <c r="C23" t="s" s="446">
        <v>318</v>
      </c>
      <c r="D23" s="447"/>
      <c r="E23" s="311">
        <f>'3'!E24</f>
      </c>
      <c r="F23" s="311">
        <f>'3'!F24</f>
      </c>
      <c r="G23" s="311">
        <f>'3'!G24</f>
      </c>
      <c r="H23" s="311">
        <f>'3'!H24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1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1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'3'!E26</f>
      </c>
      <c r="F25" s="257">
        <f>'3'!F26</f>
      </c>
      <c r="G25" s="257">
        <f>'3'!G26</f>
      </c>
      <c r="H25" s="257">
        <f>'3'!H26</f>
      </c>
      <c r="I25" s="275">
        <f>'3'!I26</f>
      </c>
      <c r="J25" s="275">
        <f>'3'!J26</f>
      </c>
      <c r="K25" s="275">
        <f>'3'!K26</f>
      </c>
      <c r="L25" s="275">
        <f>'3'!L26</f>
      </c>
      <c r="M25" s="275">
        <f>'3'!M26</f>
      </c>
      <c r="N25" s="275">
        <f>'3'!N26</f>
      </c>
      <c r="O25" s="275">
        <f>'3'!O26</f>
      </c>
      <c r="P25" s="275">
        <f>'3'!P26</f>
      </c>
      <c r="Q25" s="275">
        <f>'3'!Q26</f>
      </c>
      <c r="R25" s="275">
        <f>'3'!R26</f>
      </c>
      <c r="S25" s="275">
        <f>'3'!S26</f>
      </c>
      <c r="T25" s="275">
        <f>'3'!T26</f>
      </c>
      <c r="U25" s="275">
        <f>'3'!U26</f>
      </c>
      <c r="V25" s="275">
        <f>'3'!V26</f>
      </c>
      <c r="W25" s="275">
        <f>'3'!W26</f>
      </c>
      <c r="X25" s="275">
        <f>'3'!X26</f>
      </c>
      <c r="Y25" s="275">
        <f>'3'!Y26</f>
      </c>
      <c r="Z25" s="275">
        <f>'3'!Z26</f>
      </c>
      <c r="AA25" s="275">
        <f>'3'!AA26</f>
      </c>
      <c r="AB25" s="275">
        <f>'3'!AB26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'3'!E28</f>
      </c>
      <c r="F28" s="233">
        <f>'3'!F28</f>
      </c>
      <c r="G28" s="233">
        <f>'3'!G28</f>
      </c>
      <c r="H28" s="233">
        <f>'3'!H28</f>
      </c>
      <c r="I28" s="234">
        <f>'3'!I28</f>
      </c>
      <c r="J28" s="234">
        <f>'3'!J28</f>
      </c>
      <c r="K28" s="234">
        <f>'3'!K28</f>
      </c>
      <c r="L28" s="234">
        <f>'3'!L28</f>
      </c>
      <c r="M28" s="234">
        <f>'3'!M28</f>
      </c>
      <c r="N28" s="234">
        <f>'3'!N28</f>
      </c>
      <c r="O28" s="234">
        <f>'3'!O28</f>
      </c>
      <c r="P28" s="234">
        <f>'3'!P28</f>
      </c>
      <c r="Q28" s="234">
        <f>'3'!Q28</f>
      </c>
      <c r="R28" s="234">
        <f>'3'!R28</f>
      </c>
      <c r="S28" s="234">
        <f>'3'!S28</f>
      </c>
      <c r="T28" s="234">
        <f>'3'!T28</f>
      </c>
      <c r="U28" s="234">
        <f>'3'!U28</f>
      </c>
      <c r="V28" s="234">
        <f>'3'!V28</f>
      </c>
      <c r="W28" s="234">
        <f>'3'!W28</f>
      </c>
      <c r="X28" s="234">
        <f>'3'!X28</f>
      </c>
      <c r="Y28" s="234">
        <f>'3'!Y28</f>
      </c>
      <c r="Z28" s="234">
        <f>'3'!Z28</f>
      </c>
      <c r="AA28" s="234">
        <f>'3'!AA28</f>
      </c>
      <c r="AB28" s="234">
        <f>'3'!AB28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'3'!I33</f>
      </c>
      <c r="J32" s="275">
        <f>'3'!J33</f>
      </c>
      <c r="K32" s="275">
        <f>'3'!K33</f>
      </c>
      <c r="L32" s="275">
        <f>'3'!L33</f>
      </c>
      <c r="M32" s="275">
        <f>'3'!M33</f>
      </c>
      <c r="N32" s="275">
        <f>'3'!N33</f>
      </c>
      <c r="O32" s="275">
        <f>'3'!O33</f>
      </c>
      <c r="P32" s="275">
        <f>'3'!P33</f>
      </c>
      <c r="Q32" s="275">
        <f>'3'!Q33</f>
      </c>
      <c r="R32" s="275">
        <f>'3'!R33</f>
      </c>
      <c r="S32" s="275">
        <f>'3'!S33</f>
      </c>
      <c r="T32" s="275">
        <f>'3'!T33</f>
      </c>
      <c r="U32" s="275">
        <f>'3'!U33</f>
      </c>
      <c r="V32" s="275">
        <f>'3'!V33</f>
      </c>
      <c r="W32" s="275">
        <f>'3'!W33</f>
      </c>
      <c r="X32" s="275">
        <f>'3'!X33</f>
      </c>
      <c r="Y32" s="275">
        <f>'3'!Y33</f>
      </c>
      <c r="Z32" s="275">
        <f>'3'!Z33</f>
      </c>
      <c r="AA32" s="275">
        <f>'3'!AA33</f>
      </c>
      <c r="AB32" s="275">
        <f>'3'!AB33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'3'!I35</f>
      </c>
      <c r="J35" s="292">
        <f>'3'!J35</f>
      </c>
      <c r="K35" s="292">
        <f>'3'!K35</f>
      </c>
      <c r="L35" s="292">
        <f>'3'!L35</f>
      </c>
      <c r="M35" s="292">
        <f>'3'!M35</f>
      </c>
      <c r="N35" s="292">
        <f>'3'!N35</f>
      </c>
      <c r="O35" s="292">
        <f>'3'!O35</f>
      </c>
      <c r="P35" s="292">
        <f>'3'!P35</f>
      </c>
      <c r="Q35" s="292">
        <f>'3'!Q35</f>
      </c>
      <c r="R35" s="292">
        <f>'3'!R35</f>
      </c>
      <c r="S35" s="292">
        <f>'3'!S35</f>
      </c>
      <c r="T35" s="292">
        <f>'3'!T35</f>
      </c>
      <c r="U35" s="292">
        <f>'3'!U35</f>
      </c>
      <c r="V35" s="292">
        <f>'3'!V35</f>
      </c>
      <c r="W35" s="292">
        <f>'3'!W35</f>
      </c>
      <c r="X35" s="292">
        <f>'3'!X35</f>
      </c>
      <c r="Y35" s="292">
        <f>'3'!Y35</f>
      </c>
      <c r="Z35" s="292">
        <f>'3'!Z35</f>
      </c>
      <c r="AA35" s="292">
        <f>'3'!AA35</f>
      </c>
      <c r="AB35" s="292">
        <f>'3'!AB35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F36+'3'!F37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80">
        <f>L7+'3'!F41:G41</f>
      </c>
      <c r="G41" s="381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80">
        <f>F16+'3'!F42:G42</f>
      </c>
      <c r="G42" s="381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80">
        <f>F17+'3'!F43:G43</f>
      </c>
      <c r="G43" s="381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80">
        <f>L12+'3'!F44:G44</f>
      </c>
      <c r="G44" s="381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80">
        <f>Z30+'3'!F45:G45</f>
      </c>
      <c r="G45" s="381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80">
        <f>Z9+'3'!F46:G46</f>
      </c>
      <c r="G46" s="381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80">
        <f>(F45-F46)+'3'!F47:G47</f>
      </c>
      <c r="G47" s="381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382">
        <f>F31+'3'!F48:G48</f>
      </c>
      <c r="G48" s="383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80">
        <f>F15+'3'!F49:G49</f>
      </c>
      <c r="G49" s="381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80">
        <f>(128.55+29.42+665.77)/7++'3'!F50:G50</f>
      </c>
      <c r="G50" s="381"/>
    </row>
    <row r="51" spans="3:28" ht="15" thickBot="1" x14ac:dyDescent="0.4">
      <c r="C51" t="s" s="492">
        <v>240</v>
      </c>
      <c r="D51" s="493"/>
      <c r="E51" s="493"/>
      <c r="F51" s="384">
        <f>Z10+'3'!F51:G51</f>
      </c>
      <c r="G51" s="385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F18+'3'!F52:G52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(F7-Z9)+'3'!F53:G53</f>
      </c>
      <c r="G53" s="385"/>
      <c r="I53" t="s" s="441">
        <v>328</v>
      </c>
      <c r="J53" s="420"/>
      <c r="K53" s="420"/>
      <c r="L53" s="238"/>
      <c r="M53" s="418">
        <f>L53+'3'!M53:P53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L54+'3'!M54:P54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97"/>
      <c r="M55" s="418">
        <f>L55+'3'!M55:P55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L56+'3'!M56:P56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L57+'3'!M57:P57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L58+'3'!M58:P58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L59+'3'!M59:P59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L60+'3'!M60:P60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L61+'3'!M61:P61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L62+'3'!M62:P62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L63+'3'!M63:P63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965C-ED1A-4F59-BFF6-E6C2697AB9A7}">
  <sheetPr codeName="Sheet16"/>
  <sheetViews>
    <sheetView topLeftCell="A6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'4'!E3+1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'4'!O5:Q5</f>
      </c>
      <c r="P5" s="609"/>
      <c r="Q5" s="609"/>
      <c r="R5" s="263"/>
      <c r="S5" s="609">
        <f>'4'!S5:U5</f>
      </c>
      <c r="T5" s="609"/>
      <c r="U5" s="609"/>
      <c r="V5" s="263"/>
      <c r="W5" s="609">
        <f>'4'!W5:Y5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8"/>
    </row>
    <row r="23" spans="3:28" s="199" customFormat="1" ht="12.5" thickBot="1" x14ac:dyDescent="0.35">
      <c r="C23" t="s" s="446">
        <v>318</v>
      </c>
      <c r="D23" s="447"/>
      <c r="E23" s="311">
        <f>'4'!E24</f>
      </c>
      <c r="F23" s="311">
        <f>'4'!F24</f>
      </c>
      <c r="G23" s="311">
        <f>'4'!G24</f>
      </c>
      <c r="H23" s="311">
        <f>'4'!H24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1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1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'4'!E26</f>
      </c>
      <c r="F25" s="257">
        <f>'4'!F26</f>
      </c>
      <c r="G25" s="257">
        <f>'4'!G26</f>
      </c>
      <c r="H25" s="257">
        <f>'4'!H26</f>
      </c>
      <c r="I25" s="275">
        <f>'4'!I26</f>
      </c>
      <c r="J25" s="275">
        <f>'4'!J26</f>
      </c>
      <c r="K25" s="275">
        <f>'4'!K26</f>
      </c>
      <c r="L25" s="275">
        <f>'4'!L26</f>
      </c>
      <c r="M25" s="275">
        <f>'4'!M26</f>
      </c>
      <c r="N25" s="275">
        <f>'4'!N26</f>
      </c>
      <c r="O25" s="275">
        <f>'4'!O26</f>
      </c>
      <c r="P25" s="275">
        <f>'4'!P26</f>
      </c>
      <c r="Q25" s="275">
        <f>'4'!Q26</f>
      </c>
      <c r="R25" s="275">
        <f>'4'!R26</f>
      </c>
      <c r="S25" s="275">
        <f>'4'!S26</f>
      </c>
      <c r="T25" s="275">
        <f>'4'!T26</f>
      </c>
      <c r="U25" s="275">
        <f>'4'!U26</f>
      </c>
      <c r="V25" s="275">
        <f>'4'!V26</f>
      </c>
      <c r="W25" s="275">
        <f>'4'!W26</f>
      </c>
      <c r="X25" s="275">
        <f>'4'!X26</f>
      </c>
      <c r="Y25" s="275">
        <f>'4'!Y26</f>
      </c>
      <c r="Z25" s="275">
        <f>'4'!Z26</f>
      </c>
      <c r="AA25" s="275">
        <f>'4'!AA26</f>
      </c>
      <c r="AB25" s="275">
        <f>'4'!AB26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'4'!E28</f>
      </c>
      <c r="F28" s="233">
        <f>'4'!F28</f>
      </c>
      <c r="G28" s="233">
        <f>'4'!G28</f>
      </c>
      <c r="H28" s="233">
        <f>'4'!H28</f>
      </c>
      <c r="I28" s="234">
        <f>'4'!I28</f>
      </c>
      <c r="J28" s="234">
        <f>'4'!J28</f>
      </c>
      <c r="K28" s="234">
        <f>'4'!K28</f>
      </c>
      <c r="L28" s="234">
        <f>'4'!L28</f>
      </c>
      <c r="M28" s="234">
        <f>'4'!M28</f>
      </c>
      <c r="N28" s="234">
        <f>'4'!N28</f>
      </c>
      <c r="O28" s="234">
        <f>'4'!O28</f>
      </c>
      <c r="P28" s="234">
        <f>'4'!P28</f>
      </c>
      <c r="Q28" s="234">
        <f>'4'!Q28</f>
      </c>
      <c r="R28" s="234">
        <f>'4'!R28</f>
      </c>
      <c r="S28" s="234">
        <f>'4'!S28</f>
      </c>
      <c r="T28" s="234">
        <f>'4'!T28</f>
      </c>
      <c r="U28" s="234">
        <f>'4'!U28</f>
      </c>
      <c r="V28" s="234">
        <f>'4'!V28</f>
      </c>
      <c r="W28" s="234">
        <f>'4'!W28</f>
      </c>
      <c r="X28" s="234">
        <f>'4'!X28</f>
      </c>
      <c r="Y28" s="234">
        <f>'4'!Y28</f>
      </c>
      <c r="Z28" s="234">
        <f>'4'!Z28</f>
      </c>
      <c r="AA28" s="234">
        <f>'4'!AA28</f>
      </c>
      <c r="AB28" s="234">
        <f>'4'!AB28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'4'!I33</f>
      </c>
      <c r="J32" s="275">
        <f>'4'!J33</f>
      </c>
      <c r="K32" s="275">
        <f>'4'!K33</f>
      </c>
      <c r="L32" s="275">
        <f>'4'!L33</f>
      </c>
      <c r="M32" s="275">
        <f>'4'!M33</f>
      </c>
      <c r="N32" s="275">
        <f>'4'!N33</f>
      </c>
      <c r="O32" s="275">
        <f>'4'!O33</f>
      </c>
      <c r="P32" s="275">
        <f>'4'!P33</f>
      </c>
      <c r="Q32" s="275">
        <f>'4'!Q33</f>
      </c>
      <c r="R32" s="275">
        <f>'4'!R33</f>
      </c>
      <c r="S32" s="275">
        <f>'4'!S33</f>
      </c>
      <c r="T32" s="275">
        <f>'4'!T33</f>
      </c>
      <c r="U32" s="275">
        <f>'4'!U33</f>
      </c>
      <c r="V32" s="275">
        <f>'4'!V33</f>
      </c>
      <c r="W32" s="275">
        <f>'4'!W33</f>
      </c>
      <c r="X32" s="275">
        <f>'4'!X33</f>
      </c>
      <c r="Y32" s="275">
        <f>'4'!Y33</f>
      </c>
      <c r="Z32" s="275">
        <f>'4'!Z33</f>
      </c>
      <c r="AA32" s="275">
        <f>'4'!AA33</f>
      </c>
      <c r="AB32" s="275">
        <f>'4'!AB33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'4'!I35</f>
      </c>
      <c r="J35" s="292">
        <f>'4'!J35</f>
      </c>
      <c r="K35" s="292">
        <f>'4'!K35</f>
      </c>
      <c r="L35" s="292">
        <f>'4'!L35</f>
      </c>
      <c r="M35" s="292">
        <f>'4'!M35</f>
      </c>
      <c r="N35" s="292">
        <f>'4'!N35</f>
      </c>
      <c r="O35" s="292">
        <f>'4'!O35</f>
      </c>
      <c r="P35" s="292">
        <f>'4'!P35</f>
      </c>
      <c r="Q35" s="292">
        <f>'4'!Q35</f>
      </c>
      <c r="R35" s="292">
        <f>'4'!R35</f>
      </c>
      <c r="S35" s="292">
        <f>'4'!S35</f>
      </c>
      <c r="T35" s="292">
        <f>'4'!T35</f>
      </c>
      <c r="U35" s="292">
        <f>'4'!U35</f>
      </c>
      <c r="V35" s="292">
        <f>'4'!V35</f>
      </c>
      <c r="W35" s="292">
        <f>'4'!W35</f>
      </c>
      <c r="X35" s="292">
        <f>'4'!X35</f>
      </c>
      <c r="Y35" s="292">
        <f>'4'!Y35</f>
      </c>
      <c r="Z35" s="292">
        <f>'4'!Z35</f>
      </c>
      <c r="AA35" s="292">
        <f>'4'!AA35</f>
      </c>
      <c r="AB35" s="292">
        <f>'4'!AB35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329</v>
      </c>
      <c r="D37" s="454"/>
      <c r="E37" s="454"/>
      <c r="F37" s="341">
        <f>F36+'4'!F37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L7+'4'!F41:G41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F16+'4'!F42:G42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F17+'4'!F43:G43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L12+'4'!F44:G44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Z30+'4'!F45:G45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Z9+'4'!F46:G46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(F45-F46)+'4'!F47:G47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F31+'4'!F48:G48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F15+'4'!F49:G49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(128.55+29.42+665.77)/7++'4'!F50:G50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Z10+'4'!F51:G51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F18+'4'!F52:G52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(F7-Z9)+'4'!F53:G53</f>
      </c>
      <c r="G53" s="385"/>
      <c r="I53" t="s" s="441">
        <v>328</v>
      </c>
      <c r="J53" s="420"/>
      <c r="K53" s="420"/>
      <c r="L53" s="238"/>
      <c r="M53" s="418">
        <f>L53+'4'!M53:P53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L54+'4'!M54:P54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L55+'4'!M55:P55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L56+'4'!M56:P56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L57+'4'!M57:P57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L58+'4'!M58:P58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L59+'4'!M59:P59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L60+'4'!M60:P60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L61+'4'!M61:P61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L62+'4'!M62:P62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L63+'4'!M63:P63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1DCC-B4EC-45E7-8832-AA91CCE4B9A7}">
  <sheetPr codeName="Sheet17"/>
  <sheetViews>
    <sheetView topLeftCell="C1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'5'!E3+1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'5'!O5:Q5</f>
      </c>
      <c r="P5" s="609"/>
      <c r="Q5" s="609"/>
      <c r="R5" s="263"/>
      <c r="S5" s="609">
        <f>'5'!S5:U5</f>
      </c>
      <c r="T5" s="609"/>
      <c r="U5" s="609"/>
      <c r="V5" s="263"/>
      <c r="W5" s="609">
        <f>'5'!W5:Y5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8"/>
    </row>
    <row r="23" spans="3:28" s="199" customFormat="1" ht="12.5" thickBot="1" x14ac:dyDescent="0.35">
      <c r="C23" t="s" s="446">
        <v>318</v>
      </c>
      <c r="D23" s="447"/>
      <c r="E23" s="311">
        <f>'5'!E24</f>
      </c>
      <c r="F23" s="311">
        <f>'5'!F24</f>
      </c>
      <c r="G23" s="311">
        <f>'5'!G24</f>
      </c>
      <c r="H23" s="311">
        <f>'5'!H24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1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1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'5'!E26</f>
      </c>
      <c r="F25" s="257">
        <f>'5'!F26</f>
      </c>
      <c r="G25" s="257">
        <f>'5'!G26</f>
      </c>
      <c r="H25" s="257">
        <f>'5'!H26</f>
      </c>
      <c r="I25" s="275">
        <f>'5'!I26</f>
      </c>
      <c r="J25" s="275">
        <f>'5'!J26</f>
      </c>
      <c r="K25" s="275">
        <f>'5'!K26</f>
      </c>
      <c r="L25" s="275">
        <f>'5'!L26</f>
      </c>
      <c r="M25" s="275">
        <f>'5'!M26</f>
      </c>
      <c r="N25" s="275">
        <f>'5'!N26</f>
      </c>
      <c r="O25" s="275">
        <f>'5'!O26</f>
      </c>
      <c r="P25" s="275">
        <f>'5'!P26</f>
      </c>
      <c r="Q25" s="275">
        <f>'5'!Q26</f>
      </c>
      <c r="R25" s="275">
        <f>'5'!R26</f>
      </c>
      <c r="S25" s="275">
        <f>'5'!S26</f>
      </c>
      <c r="T25" s="275">
        <f>'5'!T26</f>
      </c>
      <c r="U25" s="275">
        <f>'5'!U26</f>
      </c>
      <c r="V25" s="275">
        <f>'5'!V26</f>
      </c>
      <c r="W25" s="275">
        <f>'5'!W26</f>
      </c>
      <c r="X25" s="275">
        <f>'5'!X26</f>
      </c>
      <c r="Y25" s="275">
        <f>'5'!Y26</f>
      </c>
      <c r="Z25" s="275">
        <f>'5'!Z26</f>
      </c>
      <c r="AA25" s="275">
        <f>'5'!AA26</f>
      </c>
      <c r="AB25" s="275">
        <f>'5'!AB26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'5'!E28</f>
      </c>
      <c r="F28" s="233">
        <f>'5'!F28</f>
      </c>
      <c r="G28" s="233">
        <f>'5'!G28</f>
      </c>
      <c r="H28" s="233">
        <f>'5'!H28</f>
      </c>
      <c r="I28" s="234">
        <f>'5'!I28</f>
      </c>
      <c r="J28" s="234">
        <f>'5'!J28</f>
      </c>
      <c r="K28" s="234">
        <f>'5'!K28</f>
      </c>
      <c r="L28" s="234">
        <f>'5'!L28</f>
      </c>
      <c r="M28" s="234">
        <f>'5'!M28</f>
      </c>
      <c r="N28" s="234">
        <f>'5'!N28</f>
      </c>
      <c r="O28" s="234">
        <f>'5'!O28</f>
      </c>
      <c r="P28" s="234">
        <f>'5'!P28</f>
      </c>
      <c r="Q28" s="234">
        <f>'5'!Q28</f>
      </c>
      <c r="R28" s="234">
        <f>'5'!R28</f>
      </c>
      <c r="S28" s="234">
        <f>'5'!S28</f>
      </c>
      <c r="T28" s="234">
        <f>'5'!T28</f>
      </c>
      <c r="U28" s="234">
        <f>'5'!U28</f>
      </c>
      <c r="V28" s="234">
        <f>'5'!V28</f>
      </c>
      <c r="W28" s="234">
        <f>'5'!W28</f>
      </c>
      <c r="X28" s="234">
        <f>'5'!X28</f>
      </c>
      <c r="Y28" s="234">
        <f>'5'!Y28</f>
      </c>
      <c r="Z28" s="234">
        <f>'5'!Z28</f>
      </c>
      <c r="AA28" s="234">
        <f>'5'!AA28</f>
      </c>
      <c r="AB28" s="234">
        <f>'5'!AB28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'5'!I33</f>
      </c>
      <c r="J32" s="275">
        <f>'5'!J33</f>
      </c>
      <c r="K32" s="275">
        <f>'5'!K33</f>
      </c>
      <c r="L32" s="275">
        <f>'5'!L33</f>
      </c>
      <c r="M32" s="275">
        <f>'5'!M33</f>
      </c>
      <c r="N32" s="275">
        <f>'5'!N33</f>
      </c>
      <c r="O32" s="275">
        <f>'5'!O33</f>
      </c>
      <c r="P32" s="275">
        <f>'5'!P33</f>
      </c>
      <c r="Q32" s="275">
        <f>'5'!Q33</f>
      </c>
      <c r="R32" s="275">
        <f>'5'!R33</f>
      </c>
      <c r="S32" s="275">
        <f>'5'!S33</f>
      </c>
      <c r="T32" s="275">
        <f>'5'!T33</f>
      </c>
      <c r="U32" s="275">
        <f>'5'!U33</f>
      </c>
      <c r="V32" s="275">
        <f>'5'!V33</f>
      </c>
      <c r="W32" s="275">
        <f>'5'!W33</f>
      </c>
      <c r="X32" s="275">
        <f>'5'!X33</f>
      </c>
      <c r="Y32" s="275">
        <f>'5'!Y33</f>
      </c>
      <c r="Z32" s="275">
        <f>'5'!Z33</f>
      </c>
      <c r="AA32" s="275">
        <f>'5'!AA33</f>
      </c>
      <c r="AB32" s="275">
        <f>'5'!AB33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'5'!I35</f>
      </c>
      <c r="J35" s="292">
        <f>'5'!J35</f>
      </c>
      <c r="K35" s="292">
        <f>'5'!K35</f>
      </c>
      <c r="L35" s="292">
        <f>'5'!L35</f>
      </c>
      <c r="M35" s="292">
        <f>'5'!M35</f>
      </c>
      <c r="N35" s="292">
        <f>'5'!N35</f>
      </c>
      <c r="O35" s="292">
        <f>'5'!O35</f>
      </c>
      <c r="P35" s="292">
        <f>'5'!P35</f>
      </c>
      <c r="Q35" s="292">
        <f>'5'!Q35</f>
      </c>
      <c r="R35" s="292">
        <f>'5'!R35</f>
      </c>
      <c r="S35" s="292">
        <f>'5'!S35</f>
      </c>
      <c r="T35" s="292">
        <f>'5'!T35</f>
      </c>
      <c r="U35" s="292">
        <f>'5'!U35</f>
      </c>
      <c r="V35" s="292">
        <f>'5'!V35</f>
      </c>
      <c r="W35" s="292">
        <f>'5'!W35</f>
      </c>
      <c r="X35" s="292">
        <f>'5'!X35</f>
      </c>
      <c r="Y35" s="292">
        <f>'5'!Y35</f>
      </c>
      <c r="Z35" s="292">
        <f>'5'!Z35</f>
      </c>
      <c r="AA35" s="292">
        <f>'5'!AA35</f>
      </c>
      <c r="AB35" s="292">
        <f>'5'!AB35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F36+'5'!F37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L7+'5'!F41:G41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F16+'5'!F42:G42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F17+'5'!F43:G43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L12+'5'!F44:G44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Z30+'5'!F45:G45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Z9+'5'!F46:G46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(F45-F46)+'5'!F47:G47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F31+'5'!F48:G48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F15+'5'!F49:G49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(128.55+29.42+665.77)/7++'5'!F50:G50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Z10+'5'!F51:G51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F18+'5'!F52:G52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(F7-Z9)+'5'!F53:G53</f>
      </c>
      <c r="G53" s="385"/>
      <c r="I53" t="s" s="441">
        <v>331</v>
      </c>
      <c r="J53" s="420"/>
      <c r="K53" s="420"/>
      <c r="L53" s="238"/>
      <c r="M53" s="418">
        <f>L53+'5'!M53:P53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L54+'5'!M54:P54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L55+'5'!M55:P55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L56+'5'!M56:P56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L57+'5'!M57:P57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L58+'5'!M58:P58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L59+'5'!M59:P59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L60+'5'!M60:P60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L61+'5'!M61:P61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L62+'5'!M62:P62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L63+'5'!M63:P63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85E0-53BC-4241-9BB3-5B660512B9A7}">
  <sheetPr codeName="Sheet18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'6'!E3+1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'6'!O5:Q5</f>
      </c>
      <c r="P5" s="609"/>
      <c r="Q5" s="609"/>
      <c r="R5" s="263"/>
      <c r="S5" s="609">
        <f>'6'!S5:U5</f>
      </c>
      <c r="T5" s="609"/>
      <c r="U5" s="609"/>
      <c r="V5" s="263"/>
      <c r="W5" s="609">
        <f>'6'!W5:Y5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8"/>
    </row>
    <row r="23" spans="3:28" s="199" customFormat="1" ht="12.5" thickBot="1" x14ac:dyDescent="0.35">
      <c r="C23" t="s" s="446">
        <v>318</v>
      </c>
      <c r="D23" s="447"/>
      <c r="E23" s="311">
        <f>'6'!E24</f>
      </c>
      <c r="F23" s="311">
        <f>'6'!F24</f>
      </c>
      <c r="G23" s="311">
        <f>'6'!G24</f>
      </c>
      <c r="H23" s="311">
        <f>'6'!H24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1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1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'6'!E26</f>
      </c>
      <c r="F25" s="257">
        <f>'6'!F26</f>
      </c>
      <c r="G25" s="257">
        <f>'6'!G26</f>
      </c>
      <c r="H25" s="257">
        <f>'6'!H26</f>
      </c>
      <c r="I25" s="275">
        <f>'6'!I26</f>
      </c>
      <c r="J25" s="275">
        <f>'6'!J26</f>
      </c>
      <c r="K25" s="275">
        <f>'6'!K26</f>
      </c>
      <c r="L25" s="275">
        <f>'6'!L26</f>
      </c>
      <c r="M25" s="275">
        <f>'6'!M26</f>
      </c>
      <c r="N25" s="275">
        <f>'6'!N26</f>
      </c>
      <c r="O25" s="275">
        <f>'6'!O26</f>
      </c>
      <c r="P25" s="275">
        <f>'6'!P26</f>
      </c>
      <c r="Q25" s="275">
        <f>'6'!Q26</f>
      </c>
      <c r="R25" s="275">
        <f>'6'!R26</f>
      </c>
      <c r="S25" s="275">
        <f>'6'!S26</f>
      </c>
      <c r="T25" s="275">
        <f>'6'!T26</f>
      </c>
      <c r="U25" s="275">
        <f>'6'!U26</f>
      </c>
      <c r="V25" s="275">
        <f>'6'!V26</f>
      </c>
      <c r="W25" s="275">
        <f>'6'!W26</f>
      </c>
      <c r="X25" s="275">
        <f>'6'!X26</f>
      </c>
      <c r="Y25" s="275">
        <f>'6'!Y26</f>
      </c>
      <c r="Z25" s="275">
        <f>'6'!Z26</f>
      </c>
      <c r="AA25" s="275">
        <f>'6'!AA26</f>
      </c>
      <c r="AB25" s="275">
        <f>'6'!AB26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'6'!E28</f>
      </c>
      <c r="F28" s="233">
        <f>'6'!F28</f>
      </c>
      <c r="G28" s="233">
        <f>'6'!G28</f>
      </c>
      <c r="H28" s="233">
        <f>'6'!H28</f>
      </c>
      <c r="I28" s="234">
        <f>'6'!I28</f>
      </c>
      <c r="J28" s="234">
        <f>'6'!J28</f>
      </c>
      <c r="K28" s="234">
        <f>'6'!K28</f>
      </c>
      <c r="L28" s="234">
        <f>'6'!L28</f>
      </c>
      <c r="M28" s="234">
        <f>'6'!M28</f>
      </c>
      <c r="N28" s="234">
        <f>'6'!N28</f>
      </c>
      <c r="O28" s="234">
        <f>'6'!O28</f>
      </c>
      <c r="P28" s="234">
        <f>'6'!P28</f>
      </c>
      <c r="Q28" s="234">
        <f>'6'!Q28</f>
      </c>
      <c r="R28" s="234">
        <f>'6'!R28</f>
      </c>
      <c r="S28" s="234">
        <f>'6'!S28</f>
      </c>
      <c r="T28" s="234">
        <f>'6'!T28</f>
      </c>
      <c r="U28" s="234">
        <f>'6'!U28</f>
      </c>
      <c r="V28" s="234">
        <f>'6'!V28</f>
      </c>
      <c r="W28" s="234">
        <f>'6'!W28</f>
      </c>
      <c r="X28" s="234">
        <f>'6'!X28</f>
      </c>
      <c r="Y28" s="234">
        <f>'6'!Y28</f>
      </c>
      <c r="Z28" s="234">
        <f>'6'!Z28</f>
      </c>
      <c r="AA28" s="234">
        <f>'6'!AA28</f>
      </c>
      <c r="AB28" s="234">
        <f>'6'!AB28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'6'!I33</f>
      </c>
      <c r="J32" s="275">
        <f>'6'!J33</f>
      </c>
      <c r="K32" s="275">
        <f>'6'!K33</f>
      </c>
      <c r="L32" s="275">
        <f>'6'!L33</f>
      </c>
      <c r="M32" s="275">
        <f>'6'!M33</f>
      </c>
      <c r="N32" s="275">
        <f>'6'!N33</f>
      </c>
      <c r="O32" s="275">
        <f>'6'!O33</f>
      </c>
      <c r="P32" s="275">
        <f>'6'!P33</f>
      </c>
      <c r="Q32" s="275">
        <f>'6'!Q33</f>
      </c>
      <c r="R32" s="275">
        <f>'6'!R33</f>
      </c>
      <c r="S32" s="275">
        <f>'6'!S33</f>
      </c>
      <c r="T32" s="275">
        <f>'6'!T33</f>
      </c>
      <c r="U32" s="275">
        <f>'6'!U33</f>
      </c>
      <c r="V32" s="275">
        <f>'6'!V33</f>
      </c>
      <c r="W32" s="275">
        <f>'6'!W33</f>
      </c>
      <c r="X32" s="275">
        <f>'6'!X33</f>
      </c>
      <c r="Y32" s="275">
        <f>'6'!Y33</f>
      </c>
      <c r="Z32" s="275">
        <f>'6'!Z33</f>
      </c>
      <c r="AA32" s="275">
        <f>'6'!AA33</f>
      </c>
      <c r="AB32" s="275">
        <f>'6'!AB33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'6'!I35</f>
      </c>
      <c r="J35" s="292">
        <f>'6'!J35</f>
      </c>
      <c r="K35" s="292">
        <f>'6'!K35</f>
      </c>
      <c r="L35" s="292">
        <f>'6'!L35</f>
      </c>
      <c r="M35" s="292">
        <f>'6'!M35</f>
      </c>
      <c r="N35" s="292">
        <f>'6'!N35</f>
      </c>
      <c r="O35" s="292">
        <f>'6'!O35</f>
      </c>
      <c r="P35" s="292">
        <f>'6'!P35</f>
      </c>
      <c r="Q35" s="292">
        <f>'6'!Q35</f>
      </c>
      <c r="R35" s="292">
        <f>'6'!R35</f>
      </c>
      <c r="S35" s="292">
        <f>'6'!S35</f>
      </c>
      <c r="T35" s="292">
        <f>'6'!T35</f>
      </c>
      <c r="U35" s="292">
        <f>'6'!U35</f>
      </c>
      <c r="V35" s="292">
        <f>'6'!V35</f>
      </c>
      <c r="W35" s="292">
        <f>'6'!W35</f>
      </c>
      <c r="X35" s="292">
        <f>'6'!X35</f>
      </c>
      <c r="Y35" s="292">
        <f>'6'!Y35</f>
      </c>
      <c r="Z35" s="292">
        <f>'6'!Z35</f>
      </c>
      <c r="AA35" s="292">
        <f>'6'!AA35</f>
      </c>
      <c r="AB35" s="292">
        <f>'6'!AB35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F36+'6'!F37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L7+'6'!F41:G41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F16+'6'!F42:G42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F17+'6'!F43:G43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L12+'6'!F44:G44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Z30+'6'!F45:G45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Z9+'6'!F46:G46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(F45-F46)+'6'!F47:G47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F31+'6'!F48:G48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F15+'6'!F49:G49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(128.55+29.42+665.77)/7++'6'!F50:G50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Z10+'6'!F51:G51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F18+'6'!F52:G52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(F7-Z9)+'6'!F53:G53</f>
      </c>
      <c r="G53" s="385"/>
      <c r="I53" t="s" s="441">
        <v>328</v>
      </c>
      <c r="J53" s="420"/>
      <c r="K53" s="420"/>
      <c r="L53" s="238"/>
      <c r="M53" s="418">
        <f>L53+'6'!M53:P53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L54+'6'!M54:P54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L55+'6'!M55:P55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L56+'6'!M56:P56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L57+'6'!M57:P57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L58+'6'!M58:P58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L59+'6'!M59:P59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L60+'6'!M60:P60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L61+'6'!M61:P61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L62+'6'!M62:P62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L63+'6'!M63:P63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D6B1-454E-49BD-AFE5-0BC31BDBB9A7}">
  <sheetPr codeName="Sheet19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'7'!E3+1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'7'!O5:Q5</f>
      </c>
      <c r="P5" s="609"/>
      <c r="Q5" s="609"/>
      <c r="R5" s="263"/>
      <c r="S5" s="609">
        <f>'7'!S5:U5</f>
      </c>
      <c r="T5" s="609"/>
      <c r="U5" s="609"/>
      <c r="V5" s="263"/>
      <c r="W5" s="609">
        <f>'7'!W5:Y5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'7'!E24</f>
      </c>
      <c r="F23" s="311">
        <f>'7'!F24</f>
      </c>
      <c r="G23" s="311">
        <f>'7'!G24</f>
      </c>
      <c r="H23" s="311">
        <f>'7'!H24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'7'!E26</f>
      </c>
      <c r="F25" s="257">
        <f>'7'!F26</f>
      </c>
      <c r="G25" s="257">
        <f>'7'!G26</f>
      </c>
      <c r="H25" s="257">
        <f>'7'!H26</f>
      </c>
      <c r="I25" s="275">
        <f>'7'!I26</f>
      </c>
      <c r="J25" s="275">
        <f>'7'!J26</f>
      </c>
      <c r="K25" s="275">
        <f>'7'!K26</f>
      </c>
      <c r="L25" s="275">
        <f>'7'!L26</f>
      </c>
      <c r="M25" s="275">
        <f>'7'!M26</f>
      </c>
      <c r="N25" s="275">
        <f>'7'!N26</f>
      </c>
      <c r="O25" s="275">
        <f>'7'!O26</f>
      </c>
      <c r="P25" s="275">
        <f>'7'!P26</f>
      </c>
      <c r="Q25" s="275">
        <f>'7'!Q26</f>
      </c>
      <c r="R25" s="275">
        <f>'7'!R26</f>
      </c>
      <c r="S25" s="275">
        <f>'7'!S26</f>
      </c>
      <c r="T25" s="275">
        <f>'7'!T26</f>
      </c>
      <c r="U25" s="275">
        <f>'7'!U26</f>
      </c>
      <c r="V25" s="275">
        <f>'7'!V26</f>
      </c>
      <c r="W25" s="275">
        <f>'7'!W26</f>
      </c>
      <c r="X25" s="275">
        <f>'7'!X26</f>
      </c>
      <c r="Y25" s="275">
        <f>'7'!Y26</f>
      </c>
      <c r="Z25" s="275">
        <f>'7'!Z26</f>
      </c>
      <c r="AA25" s="275">
        <f>'7'!AA26</f>
      </c>
      <c r="AB25" s="275">
        <f>'7'!AB26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'7'!E28</f>
      </c>
      <c r="F28" s="233">
        <f>'7'!F28</f>
      </c>
      <c r="G28" s="233">
        <f>'7'!G28</f>
      </c>
      <c r="H28" s="233">
        <f>'7'!H28</f>
      </c>
      <c r="I28" s="234">
        <f>'7'!I28</f>
      </c>
      <c r="J28" s="234">
        <f>'7'!J28</f>
      </c>
      <c r="K28" s="234">
        <f>'7'!K28</f>
      </c>
      <c r="L28" s="234">
        <f>'7'!L28</f>
      </c>
      <c r="M28" s="234">
        <f>'7'!M28</f>
      </c>
      <c r="N28" s="234">
        <f>'7'!N28</f>
      </c>
      <c r="O28" s="234">
        <f>'7'!O28</f>
      </c>
      <c r="P28" s="234">
        <f>'7'!P28</f>
      </c>
      <c r="Q28" s="234">
        <f>'7'!Q28</f>
      </c>
      <c r="R28" s="234">
        <f>'7'!R28</f>
      </c>
      <c r="S28" s="234">
        <f>'7'!S28</f>
      </c>
      <c r="T28" s="234">
        <f>'7'!T28</f>
      </c>
      <c r="U28" s="234">
        <f>'7'!U28</f>
      </c>
      <c r="V28" s="234">
        <f>'7'!V28</f>
      </c>
      <c r="W28" s="234">
        <f>'7'!W28</f>
      </c>
      <c r="X28" s="234">
        <f>'7'!X28</f>
      </c>
      <c r="Y28" s="234">
        <f>'7'!Y28</f>
      </c>
      <c r="Z28" s="234">
        <f>'7'!Z28</f>
      </c>
      <c r="AA28" s="234">
        <f>'7'!AA28</f>
      </c>
      <c r="AB28" s="234">
        <f>'7'!AB28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'7'!I33</f>
      </c>
      <c r="J32" s="275">
        <f>'7'!J33</f>
      </c>
      <c r="K32" s="275">
        <f>'7'!K33</f>
      </c>
      <c r="L32" s="275">
        <f>'7'!L33</f>
      </c>
      <c r="M32" s="275">
        <f>'7'!M33</f>
      </c>
      <c r="N32" s="275">
        <f>'7'!N33</f>
      </c>
      <c r="O32" s="275">
        <f>'7'!O33</f>
      </c>
      <c r="P32" s="275">
        <f>'7'!P33</f>
      </c>
      <c r="Q32" s="275">
        <f>'7'!Q33</f>
      </c>
      <c r="R32" s="275">
        <f>'7'!R33</f>
      </c>
      <c r="S32" s="275">
        <f>'7'!S33</f>
      </c>
      <c r="T32" s="275">
        <f>'7'!T33</f>
      </c>
      <c r="U32" s="275">
        <f>'7'!U33</f>
      </c>
      <c r="V32" s="275">
        <f>'7'!V33</f>
      </c>
      <c r="W32" s="275">
        <f>'7'!W33</f>
      </c>
      <c r="X32" s="275">
        <f>'7'!X33</f>
      </c>
      <c r="Y32" s="275">
        <f>'7'!Y33</f>
      </c>
      <c r="Z32" s="275">
        <f>'7'!Z33</f>
      </c>
      <c r="AA32" s="275">
        <f>'7'!AA33</f>
      </c>
      <c r="AB32" s="275">
        <f>'7'!AB33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'7'!I35</f>
      </c>
      <c r="J35" s="292">
        <f>'7'!J35</f>
      </c>
      <c r="K35" s="292">
        <f>'7'!K35</f>
      </c>
      <c r="L35" s="292">
        <f>'7'!L35</f>
      </c>
      <c r="M35" s="292">
        <f>'7'!M35</f>
      </c>
      <c r="N35" s="292">
        <f>'7'!N35</f>
      </c>
      <c r="O35" s="292">
        <f>'7'!O35</f>
      </c>
      <c r="P35" s="292">
        <f>'7'!P35</f>
      </c>
      <c r="Q35" s="292">
        <f>'7'!Q35</f>
      </c>
      <c r="R35" s="292">
        <f>'7'!R35</f>
      </c>
      <c r="S35" s="292">
        <f>'7'!S35</f>
      </c>
      <c r="T35" s="292">
        <f>'7'!T35</f>
      </c>
      <c r="U35" s="292">
        <f>'7'!U35</f>
      </c>
      <c r="V35" s="292">
        <f>'7'!V35</f>
      </c>
      <c r="W35" s="292">
        <f>'7'!W35</f>
      </c>
      <c r="X35" s="292">
        <f>'7'!X35</f>
      </c>
      <c r="Y35" s="292">
        <f>'7'!Y35</f>
      </c>
      <c r="Z35" s="292">
        <f>'7'!Z35</f>
      </c>
      <c r="AA35" s="292">
        <f>'7'!AA35</f>
      </c>
      <c r="AB35" s="292">
        <f>'7'!AB35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'8'!F36+'7'!F37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L7+'7'!F41:G41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F16+'7'!F42:G42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F17+'7'!F43:G43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L12+'7'!F44:G44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Z30+'7'!F45:G45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Z9+'7'!F46:G46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(F45-F46)+'7'!F47:G47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F31+'7'!F48:G48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F15+'7'!F49:G49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(128.55+29.42+665.77)/7++'7'!F50:G50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Z10+'7'!F51:G51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F18+'7'!F52:G52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(F7-Z9)+'7'!F53:G53</f>
      </c>
      <c r="G53" s="385"/>
      <c r="I53" t="s" s="441">
        <v>331</v>
      </c>
      <c r="J53" s="420"/>
      <c r="K53" s="420"/>
      <c r="L53" s="238"/>
      <c r="M53" s="418">
        <f>L53+'7'!M53:P53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L54+'7'!M54:P54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L55+'7'!M55:P55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L56+'7'!M56:P56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L57+'7'!M57:P57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L58+'7'!M58:P58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L59+'7'!M59:P59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L60+'7'!M60:P60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L61+'7'!M61:P61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L62+'7'!M62:P62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L63+'7'!M63:P63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F212-BE3E-4049-A8B1-FD820596B9A7}">
  <sheetPr codeName="Sheet20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'8'!E3+1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'8'!O5:Q5</f>
      </c>
      <c r="P5" s="609"/>
      <c r="Q5" s="609"/>
      <c r="R5" s="263"/>
      <c r="S5" s="609">
        <f>'8'!S5:U5</f>
      </c>
      <c r="T5" s="609"/>
      <c r="U5" s="609"/>
      <c r="V5" s="263"/>
      <c r="W5" s="609">
        <f>'8'!W5:Y5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'8'!E24</f>
      </c>
      <c r="F23" s="311">
        <f>'8'!F24</f>
      </c>
      <c r="G23" s="311">
        <f>'8'!G24</f>
      </c>
      <c r="H23" s="311">
        <f>'8'!H24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'8'!E26</f>
      </c>
      <c r="F25" s="257">
        <f>'8'!F26</f>
      </c>
      <c r="G25" s="257">
        <f>'8'!G26</f>
      </c>
      <c r="H25" s="257">
        <f>'8'!H26</f>
      </c>
      <c r="I25" s="275">
        <f>'8'!I26</f>
      </c>
      <c r="J25" s="275">
        <f>'8'!J26</f>
      </c>
      <c r="K25" s="275">
        <f>'8'!K26</f>
      </c>
      <c r="L25" s="275">
        <f>'8'!L26</f>
      </c>
      <c r="M25" s="275">
        <f>'8'!M26</f>
      </c>
      <c r="N25" s="275">
        <f>'8'!N26</f>
      </c>
      <c r="O25" s="275">
        <f>'8'!O26</f>
      </c>
      <c r="P25" s="275">
        <f>'8'!P26</f>
      </c>
      <c r="Q25" s="275">
        <f>'8'!Q26</f>
      </c>
      <c r="R25" s="275">
        <f>'8'!R26</f>
      </c>
      <c r="S25" s="275">
        <f>'8'!S26</f>
      </c>
      <c r="T25" s="275">
        <f>'8'!T26</f>
      </c>
      <c r="U25" s="275">
        <f>'8'!U26</f>
      </c>
      <c r="V25" s="275">
        <f>'8'!V26</f>
      </c>
      <c r="W25" s="275">
        <f>'8'!W26</f>
      </c>
      <c r="X25" s="275">
        <f>'8'!X26</f>
      </c>
      <c r="Y25" s="275">
        <f>'8'!Y26</f>
      </c>
      <c r="Z25" s="275">
        <f>'8'!Z26</f>
      </c>
      <c r="AA25" s="275">
        <f>'8'!AA26</f>
      </c>
      <c r="AB25" s="275">
        <f>'8'!AB26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'8'!E28</f>
      </c>
      <c r="F28" s="233">
        <f>'8'!F28</f>
      </c>
      <c r="G28" s="233">
        <f>'8'!G28</f>
      </c>
      <c r="H28" s="233">
        <f>'8'!H28</f>
      </c>
      <c r="I28" s="234">
        <f>'8'!I28</f>
      </c>
      <c r="J28" s="234">
        <f>'8'!J28</f>
      </c>
      <c r="K28" s="234">
        <f>'8'!K28</f>
      </c>
      <c r="L28" s="234">
        <f>'8'!L28</f>
      </c>
      <c r="M28" s="234">
        <f>'8'!M28</f>
      </c>
      <c r="N28" s="234">
        <f>'8'!N28</f>
      </c>
      <c r="O28" s="234">
        <f>'8'!O28</f>
      </c>
      <c r="P28" s="234">
        <f>'8'!P28</f>
      </c>
      <c r="Q28" s="234">
        <f>'8'!Q28</f>
      </c>
      <c r="R28" s="234">
        <f>'8'!R28</f>
      </c>
      <c r="S28" s="234">
        <f>'8'!S28</f>
      </c>
      <c r="T28" s="234">
        <f>'8'!T28</f>
      </c>
      <c r="U28" s="234">
        <f>'8'!U28</f>
      </c>
      <c r="V28" s="234">
        <f>'8'!V28</f>
      </c>
      <c r="W28" s="234">
        <f>'8'!W28</f>
      </c>
      <c r="X28" s="234">
        <f>'8'!X28</f>
      </c>
      <c r="Y28" s="234">
        <f>'8'!Y28</f>
      </c>
      <c r="Z28" s="234">
        <f>'8'!Z28</f>
      </c>
      <c r="AA28" s="234">
        <f>'8'!AA28</f>
      </c>
      <c r="AB28" s="234">
        <f>'8'!AB28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'8'!I33</f>
      </c>
      <c r="J32" s="275">
        <f>'8'!J33</f>
      </c>
      <c r="K32" s="275">
        <f>'8'!K33</f>
      </c>
      <c r="L32" s="275">
        <f>'8'!L33</f>
      </c>
      <c r="M32" s="275">
        <f>'8'!M33</f>
      </c>
      <c r="N32" s="275">
        <f>'8'!N33</f>
      </c>
      <c r="O32" s="275">
        <f>'8'!O33</f>
      </c>
      <c r="P32" s="275">
        <f>'8'!P33</f>
      </c>
      <c r="Q32" s="275">
        <f>'8'!Q33</f>
      </c>
      <c r="R32" s="275">
        <f>'8'!R33</f>
      </c>
      <c r="S32" s="275">
        <f>'8'!S33</f>
      </c>
      <c r="T32" s="275">
        <f>'8'!T33</f>
      </c>
      <c r="U32" s="275">
        <f>'8'!U33</f>
      </c>
      <c r="V32" s="275">
        <f>'8'!V33</f>
      </c>
      <c r="W32" s="275">
        <f>'8'!W33</f>
      </c>
      <c r="X32" s="275">
        <f>'8'!X33</f>
      </c>
      <c r="Y32" s="275">
        <f>'8'!Y33</f>
      </c>
      <c r="Z32" s="275">
        <f>'8'!Z33</f>
      </c>
      <c r="AA32" s="275">
        <f>'8'!AA33</f>
      </c>
      <c r="AB32" s="275">
        <f>'8'!AB33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'8'!I35</f>
      </c>
      <c r="J35" s="292">
        <f>'8'!J35</f>
      </c>
      <c r="K35" s="292">
        <f>'8'!K35</f>
      </c>
      <c r="L35" s="292">
        <f>'8'!L35</f>
      </c>
      <c r="M35" s="292">
        <f>'8'!M35</f>
      </c>
      <c r="N35" s="292">
        <f>'8'!N35</f>
      </c>
      <c r="O35" s="292">
        <f>'8'!O35</f>
      </c>
      <c r="P35" s="292">
        <f>'8'!P35</f>
      </c>
      <c r="Q35" s="292">
        <f>'8'!Q35</f>
      </c>
      <c r="R35" s="292">
        <f>'8'!R35</f>
      </c>
      <c r="S35" s="292">
        <f>'8'!S35</f>
      </c>
      <c r="T35" s="292">
        <f>'8'!T35</f>
      </c>
      <c r="U35" s="292">
        <f>'8'!U35</f>
      </c>
      <c r="V35" s="292">
        <f>'8'!V35</f>
      </c>
      <c r="W35" s="292">
        <f>'8'!W35</f>
      </c>
      <c r="X35" s="292">
        <f>'8'!X35</f>
      </c>
      <c r="Y35" s="292">
        <f>'8'!Y35</f>
      </c>
      <c r="Z35" s="292">
        <f>'8'!Z35</f>
      </c>
      <c r="AA35" s="292">
        <f>'8'!AA35</f>
      </c>
      <c r="AB35" s="292">
        <f>'8'!AB35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330</v>
      </c>
      <c r="D37" s="454"/>
      <c r="E37" s="454"/>
      <c r="F37" s="341">
        <f>F36+'8'!F37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L7+'8'!F41:G41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F16+'8'!F42:G42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F17+'8'!F43:G43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L12+'8'!F44:G44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Z30+'8'!F45:G45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Z9+'8'!F46:G46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(F45-F46)+'8'!F47:G47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F31+'8'!F48:G48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F15+'8'!F49:G49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(128.55+29.42+665.77)/7++'8'!F50:G50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Z10+'8'!F51:G51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F18+'8'!F52:G52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(F7-Z9)+'8'!F53:G53</f>
      </c>
      <c r="G53" s="385"/>
      <c r="I53" t="s" s="441">
        <v>331</v>
      </c>
      <c r="J53" s="420"/>
      <c r="K53" s="420"/>
      <c r="L53" s="238"/>
      <c r="M53" s="418">
        <f>L53+'8'!M53:P53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L54+'8'!M54:P54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L55+'8'!M55:P55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L56+'8'!M56:P56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L57+'8'!M57:P57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L58+'8'!M58:P58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L59+'8'!M59:P59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L60+'8'!M60:P60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L61+'8'!M61:P61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L62+'8'!M62:P62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L63+'8'!M63:P63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7450-4136-4B96-9A8D-3EEDDFBAB9A7}">
  <sheetPr codeName="Sheet21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'9'!E3+1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'9'!O5:Q5</f>
      </c>
      <c r="P5" s="609"/>
      <c r="Q5" s="609"/>
      <c r="R5" s="263"/>
      <c r="S5" s="609">
        <f>'9'!S5:U5</f>
      </c>
      <c r="T5" s="609"/>
      <c r="U5" s="609"/>
      <c r="V5" s="263"/>
      <c r="W5" s="609">
        <f>'9'!W5:Y5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323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'9'!E24</f>
      </c>
      <c r="F23" s="311">
        <f>'9'!F24</f>
      </c>
      <c r="G23" s="311">
        <f>'9'!G24</f>
      </c>
      <c r="H23" s="311">
        <f>'9'!H24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'9'!E26</f>
      </c>
      <c r="F25" s="257">
        <f>'9'!F26</f>
      </c>
      <c r="G25" s="257">
        <f>'9'!G26</f>
      </c>
      <c r="H25" s="257">
        <f>'9'!H26</f>
      </c>
      <c r="I25" s="275">
        <f>'9'!I26</f>
      </c>
      <c r="J25" s="275">
        <f>'9'!J26</f>
      </c>
      <c r="K25" s="275">
        <f>'9'!K26</f>
      </c>
      <c r="L25" s="275">
        <f>'9'!L26</f>
      </c>
      <c r="M25" s="275">
        <f>'9'!M26</f>
      </c>
      <c r="N25" s="275">
        <f>'9'!N26</f>
      </c>
      <c r="O25" s="275">
        <f>'9'!O26</f>
      </c>
      <c r="P25" s="275">
        <f>'9'!P26</f>
      </c>
      <c r="Q25" s="275">
        <f>'9'!Q26</f>
      </c>
      <c r="R25" s="275">
        <f>'9'!R26</f>
      </c>
      <c r="S25" s="275">
        <f>'9'!S26</f>
      </c>
      <c r="T25" s="275">
        <f>'9'!T26</f>
      </c>
      <c r="U25" s="275">
        <f>'9'!U26</f>
      </c>
      <c r="V25" s="275">
        <f>'9'!V26</f>
      </c>
      <c r="W25" s="275">
        <f>'9'!W26</f>
      </c>
      <c r="X25" s="275">
        <f>'9'!X26</f>
      </c>
      <c r="Y25" s="275">
        <f>'9'!Y26</f>
      </c>
      <c r="Z25" s="275">
        <f>'9'!Z26</f>
      </c>
      <c r="AA25" s="275">
        <f>'9'!AA26</f>
      </c>
      <c r="AB25" s="275">
        <f>'9'!AB26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'9'!E28</f>
      </c>
      <c r="F28" s="233">
        <f>'9'!F28</f>
      </c>
      <c r="G28" s="233">
        <f>'9'!G28</f>
      </c>
      <c r="H28" s="233">
        <f>'9'!H28</f>
      </c>
      <c r="I28" s="234">
        <f>'9'!I28</f>
      </c>
      <c r="J28" s="234">
        <f>'9'!J28</f>
      </c>
      <c r="K28" s="234">
        <f>'9'!K28</f>
      </c>
      <c r="L28" s="234">
        <f>'9'!L28</f>
      </c>
      <c r="M28" s="234">
        <f>'9'!M28</f>
      </c>
      <c r="N28" s="234">
        <f>'9'!N28</f>
      </c>
      <c r="O28" s="234">
        <f>'9'!O28</f>
      </c>
      <c r="P28" s="234">
        <f>'9'!P28</f>
      </c>
      <c r="Q28" s="234">
        <f>'9'!Q28</f>
      </c>
      <c r="R28" s="234">
        <f>'9'!R28</f>
      </c>
      <c r="S28" s="234">
        <f>'9'!S28</f>
      </c>
      <c r="T28" s="234">
        <f>'9'!T28</f>
      </c>
      <c r="U28" s="234">
        <f>'9'!U28</f>
      </c>
      <c r="V28" s="234">
        <f>'9'!V28</f>
      </c>
      <c r="W28" s="234">
        <f>'9'!W28</f>
      </c>
      <c r="X28" s="234">
        <f>'9'!X28</f>
      </c>
      <c r="Y28" s="234">
        <f>'9'!Y28</f>
      </c>
      <c r="Z28" s="234">
        <f>'9'!Z28</f>
      </c>
      <c r="AA28" s="234">
        <f>'9'!AA28</f>
      </c>
      <c r="AB28" s="234">
        <f>'9'!AB28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'9'!I33</f>
      </c>
      <c r="J32" s="275">
        <f>'9'!J33</f>
      </c>
      <c r="K32" s="275">
        <f>'9'!K33</f>
      </c>
      <c r="L32" s="275">
        <f>'9'!L33</f>
      </c>
      <c r="M32" s="275">
        <f>'9'!M33</f>
      </c>
      <c r="N32" s="275">
        <f>'9'!N33</f>
      </c>
      <c r="O32" s="275">
        <f>'9'!O33</f>
      </c>
      <c r="P32" s="275">
        <f>'9'!P33</f>
      </c>
      <c r="Q32" s="275">
        <f>'9'!Q33</f>
      </c>
      <c r="R32" s="275">
        <f>'9'!R33</f>
      </c>
      <c r="S32" s="275">
        <f>'9'!S33</f>
      </c>
      <c r="T32" s="275">
        <f>'9'!T33</f>
      </c>
      <c r="U32" s="275">
        <f>'9'!U33</f>
      </c>
      <c r="V32" s="275">
        <f>'9'!V33</f>
      </c>
      <c r="W32" s="275">
        <f>'9'!W33</f>
      </c>
      <c r="X32" s="275">
        <f>'9'!X33</f>
      </c>
      <c r="Y32" s="275">
        <f>'9'!Y33</f>
      </c>
      <c r="Z32" s="275">
        <f>'9'!Z33</f>
      </c>
      <c r="AA32" s="275">
        <f>'9'!AA33</f>
      </c>
      <c r="AB32" s="275">
        <f>'9'!AB33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'9'!I35</f>
      </c>
      <c r="J35" s="292">
        <f>'9'!J35</f>
      </c>
      <c r="K35" s="292">
        <f>'9'!K35</f>
      </c>
      <c r="L35" s="292">
        <f>'9'!L35</f>
      </c>
      <c r="M35" s="292">
        <f>'9'!M35</f>
      </c>
      <c r="N35" s="292">
        <f>'9'!N35</f>
      </c>
      <c r="O35" s="292">
        <f>'9'!O35</f>
      </c>
      <c r="P35" s="292">
        <f>'9'!P35</f>
      </c>
      <c r="Q35" s="292">
        <f>'9'!Q35</f>
      </c>
      <c r="R35" s="292">
        <f>'9'!R35</f>
      </c>
      <c r="S35" s="292">
        <f>'9'!S35</f>
      </c>
      <c r="T35" s="292">
        <f>'9'!T35</f>
      </c>
      <c r="U35" s="292">
        <f>'9'!U35</f>
      </c>
      <c r="V35" s="292">
        <f>'9'!V35</f>
      </c>
      <c r="W35" s="292">
        <f>'9'!W35</f>
      </c>
      <c r="X35" s="292">
        <f>'9'!X35</f>
      </c>
      <c r="Y35" s="292">
        <f>'9'!Y35</f>
      </c>
      <c r="Z35" s="292">
        <f>'9'!Z35</f>
      </c>
      <c r="AA35" s="292">
        <f>'9'!AA35</f>
      </c>
      <c r="AB35" s="292">
        <f>'9'!AB35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330</v>
      </c>
      <c r="D37" s="454"/>
      <c r="E37" s="454"/>
      <c r="F37" s="341">
        <f>F36+'9'!F37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L7+'9'!F41:G41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F16+'9'!F42:G42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F17+'9'!F43:G43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L12+'9'!F44:G44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Z30+'9'!F45:G45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Z9+'9'!F46:G46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(F45-F46)+'9'!F47:G47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F31+'9'!F48:G48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F15+'9'!F49:G49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(128.55+29.42+665.77)/7++'9'!F50:G50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Z10+'9'!F51:G51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F18+'9'!F52:G52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(F7-Z9)+'9'!F53:G53</f>
      </c>
      <c r="G53" s="385"/>
      <c r="I53" t="s" s="441">
        <v>275</v>
      </c>
      <c r="J53" s="420"/>
      <c r="K53" s="420"/>
      <c r="L53" s="238"/>
      <c r="M53" s="418">
        <f>L53+'9'!M53:P53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L54+'9'!M54:P54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L55+'9'!M55:P55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L56+'9'!M56:P56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L57+'9'!M57:P57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L58+'9'!M58:P58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L59+'9'!M59:P59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L60+'9'!M60:P60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L61+'9'!M61:P61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L62+'9'!M62:P62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L63+'9'!M63:P63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3030-B0BA-4AC5-AE7A-BC6B5777B9A7}">
  <sheetPr codeName="Sheet22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'10'!E3+1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'10'!O5:Q5</f>
      </c>
      <c r="P5" s="609"/>
      <c r="Q5" s="609"/>
      <c r="R5" s="263"/>
      <c r="S5" s="609">
        <f>'10'!S5:U5</f>
      </c>
      <c r="T5" s="609"/>
      <c r="U5" s="609"/>
      <c r="V5" s="263"/>
      <c r="W5" s="609">
        <f>'10'!W5:Y5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'10'!E24</f>
      </c>
      <c r="F23" s="311">
        <f>'10'!F24</f>
      </c>
      <c r="G23" s="311">
        <f>'10'!G24</f>
      </c>
      <c r="H23" s="311">
        <f>'10'!H24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'10'!E26</f>
      </c>
      <c r="F25" s="257">
        <f>'10'!F26</f>
      </c>
      <c r="G25" s="257">
        <f>'10'!G26</f>
      </c>
      <c r="H25" s="257">
        <f>'10'!H26</f>
      </c>
      <c r="I25" s="275">
        <f>'10'!I26</f>
      </c>
      <c r="J25" s="275">
        <f>'10'!J26</f>
      </c>
      <c r="K25" s="275">
        <f>'10'!K26</f>
      </c>
      <c r="L25" s="275">
        <f>'10'!L26</f>
      </c>
      <c r="M25" s="275">
        <f>'10'!M26</f>
      </c>
      <c r="N25" s="275">
        <f>'10'!N26</f>
      </c>
      <c r="O25" s="275">
        <f>'10'!O26</f>
      </c>
      <c r="P25" s="275">
        <f>'10'!P26</f>
      </c>
      <c r="Q25" s="275">
        <f>'10'!Q26</f>
      </c>
      <c r="R25" s="275">
        <f>'10'!R26</f>
      </c>
      <c r="S25" s="275">
        <f>'10'!S26</f>
      </c>
      <c r="T25" s="275">
        <f>'10'!T26</f>
      </c>
      <c r="U25" s="275">
        <f>'10'!U26</f>
      </c>
      <c r="V25" s="275">
        <f>'10'!V26</f>
      </c>
      <c r="W25" s="275">
        <f>'10'!W26</f>
      </c>
      <c r="X25" s="275">
        <f>'10'!X26</f>
      </c>
      <c r="Y25" s="275">
        <f>'10'!Y26</f>
      </c>
      <c r="Z25" s="275">
        <f>'10'!Z26</f>
      </c>
      <c r="AA25" s="275">
        <f>'10'!AA26</f>
      </c>
      <c r="AB25" s="275">
        <f>'10'!AB26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'10'!E28</f>
      </c>
      <c r="F28" s="233">
        <f>'10'!F28</f>
      </c>
      <c r="G28" s="233">
        <f>'10'!G28</f>
      </c>
      <c r="H28" s="233">
        <f>'10'!H28</f>
      </c>
      <c r="I28" s="234">
        <f>'10'!I28</f>
      </c>
      <c r="J28" s="234">
        <f>'10'!J28</f>
      </c>
      <c r="K28" s="234">
        <f>'10'!K28</f>
      </c>
      <c r="L28" s="234">
        <f>'10'!L28</f>
      </c>
      <c r="M28" s="234">
        <f>'10'!M28</f>
      </c>
      <c r="N28" s="234">
        <f>'10'!N28</f>
      </c>
      <c r="O28" s="234">
        <f>'10'!O28</f>
      </c>
      <c r="P28" s="234">
        <f>'10'!P28</f>
      </c>
      <c r="Q28" s="234">
        <f>'10'!Q28</f>
      </c>
      <c r="R28" s="234">
        <f>'10'!R28</f>
      </c>
      <c r="S28" s="234">
        <f>'10'!S28</f>
      </c>
      <c r="T28" s="234">
        <f>'10'!T28</f>
      </c>
      <c r="U28" s="234">
        <f>'10'!U28</f>
      </c>
      <c r="V28" s="234">
        <f>'10'!V28</f>
      </c>
      <c r="W28" s="234">
        <f>'10'!W28</f>
      </c>
      <c r="X28" s="234">
        <f>'10'!X28</f>
      </c>
      <c r="Y28" s="234">
        <f>'10'!Y28</f>
      </c>
      <c r="Z28" s="234">
        <f>'10'!Z28</f>
      </c>
      <c r="AA28" s="234">
        <f>'10'!AA28</f>
      </c>
      <c r="AB28" s="234">
        <f>'10'!AB28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'10'!I33</f>
      </c>
      <c r="J32" s="275">
        <f>'10'!J33</f>
      </c>
      <c r="K32" s="275">
        <f>'10'!K33</f>
      </c>
      <c r="L32" s="275">
        <f>'10'!L33</f>
      </c>
      <c r="M32" s="275">
        <f>'10'!M33</f>
      </c>
      <c r="N32" s="275">
        <f>'10'!N33</f>
      </c>
      <c r="O32" s="275">
        <f>'10'!O33</f>
      </c>
      <c r="P32" s="275">
        <f>'10'!P33</f>
      </c>
      <c r="Q32" s="275">
        <f>'10'!Q33</f>
      </c>
      <c r="R32" s="275">
        <f>'10'!R33</f>
      </c>
      <c r="S32" s="275">
        <f>'10'!S33</f>
      </c>
      <c r="T32" s="275">
        <f>'10'!T33</f>
      </c>
      <c r="U32" s="275">
        <f>'10'!U33</f>
      </c>
      <c r="V32" s="275">
        <f>'10'!V33</f>
      </c>
      <c r="W32" s="275">
        <f>'10'!W33</f>
      </c>
      <c r="X32" s="275">
        <f>'10'!X33</f>
      </c>
      <c r="Y32" s="275">
        <f>'10'!Y33</f>
      </c>
      <c r="Z32" s="275">
        <f>'10'!Z33</f>
      </c>
      <c r="AA32" s="275">
        <f>'10'!AA33</f>
      </c>
      <c r="AB32" s="275">
        <f>'10'!AB33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'10'!I35</f>
      </c>
      <c r="J35" s="292">
        <f>'10'!J35</f>
      </c>
      <c r="K35" s="292">
        <f>'10'!K35</f>
      </c>
      <c r="L35" s="292">
        <f>'10'!L35</f>
      </c>
      <c r="M35" s="292">
        <f>'10'!M35</f>
      </c>
      <c r="N35" s="292">
        <f>'10'!N35</f>
      </c>
      <c r="O35" s="292">
        <f>'10'!O35</f>
      </c>
      <c r="P35" s="292">
        <f>'10'!P35</f>
      </c>
      <c r="Q35" s="292">
        <f>'10'!Q35</f>
      </c>
      <c r="R35" s="292">
        <f>'10'!R35</f>
      </c>
      <c r="S35" s="292">
        <f>'10'!S35</f>
      </c>
      <c r="T35" s="292">
        <f>'10'!T35</f>
      </c>
      <c r="U35" s="292">
        <f>'10'!U35</f>
      </c>
      <c r="V35" s="292">
        <f>'10'!V35</f>
      </c>
      <c r="W35" s="292">
        <f>'10'!W35</f>
      </c>
      <c r="X35" s="292">
        <f>'10'!X35</f>
      </c>
      <c r="Y35" s="292">
        <f>'10'!Y35</f>
      </c>
      <c r="Z35" s="292">
        <f>'10'!Z35</f>
      </c>
      <c r="AA35" s="292">
        <f>'10'!AA35</f>
      </c>
      <c r="AB35" s="292">
        <f>'10'!AB35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F36+'10'!F37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L7+'10'!F41:G41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F16+'10'!F42:G42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F17+'10'!F43:G43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L12+'10'!F44:G44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Z30+'10'!F45:G45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Z9+'10'!F46:G46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(F45-F46)+'10'!F47:G47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F31+'10'!F48:G48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F15+'10'!F49:G49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(128.55+29.42+665.77)/7++'10'!F50:G50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Z10+'10'!F51:G51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F18+'10'!F52:G52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(F7-Z9)+'10'!F53:G53</f>
      </c>
      <c r="G53" s="385"/>
      <c r="I53" t="s" s="441">
        <v>331</v>
      </c>
      <c r="J53" s="420"/>
      <c r="K53" s="420"/>
      <c r="L53" s="238"/>
      <c r="M53" s="418">
        <f>L53+'10'!M53:P53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L54+'10'!M54:P54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L55+'10'!M55:P55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L56+'10'!M56:P56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L57+'10'!M57:P57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L58+'10'!M58:P58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L59+'10'!M59:P59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L60+'10'!M60:P60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L61+'10'!M61:P61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L62+'10'!M62:P62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L63+'10'!M63:P63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M64:P64"/>
    <mergeCell ref="C37:E37"/>
    <mergeCell ref="C52:E52"/>
    <mergeCell ref="F52:G52"/>
    <mergeCell ref="C53:E53"/>
    <mergeCell ref="F53:G53"/>
    <mergeCell ref="I62:K62"/>
    <mergeCell ref="M62:P62"/>
    <mergeCell ref="I63:K63"/>
    <mergeCell ref="M63:P63"/>
    <mergeCell ref="M42:N42"/>
    <mergeCell ref="O42:Q42"/>
    <mergeCell ref="F43:G43"/>
    <mergeCell ref="I43:J43"/>
    <mergeCell ref="M43:N43"/>
    <mergeCell ref="O43:Q43"/>
    <mergeCell ref="F44:G44"/>
    <mergeCell ref="M44:N44"/>
    <mergeCell ref="O44:Q44"/>
    <mergeCell ref="I42:J42"/>
    <mergeCell ref="F45:G45"/>
    <mergeCell ref="F46:G46"/>
    <mergeCell ref="F47:G47"/>
    <mergeCell ref="F48:G48"/>
    <mergeCell ref="C49:E49"/>
    <mergeCell ref="U49:Y49"/>
    <mergeCell ref="Z49:AB49"/>
    <mergeCell ref="C50:E50"/>
    <mergeCell ref="C51:E51"/>
    <mergeCell ref="C35:E35"/>
    <mergeCell ref="C41:E41"/>
    <mergeCell ref="C42:E42"/>
    <mergeCell ref="C43:E43"/>
    <mergeCell ref="C44:E44"/>
    <mergeCell ref="C45:E45"/>
    <mergeCell ref="C46:E46"/>
    <mergeCell ref="C47:E47"/>
    <mergeCell ref="C48:E48"/>
    <mergeCell ref="Z48:AB48"/>
    <mergeCell ref="T40:Y40"/>
    <mergeCell ref="F42:G42"/>
    <mergeCell ref="T45:Y45"/>
    <mergeCell ref="Z45:AB45"/>
    <mergeCell ref="T46:Y46"/>
    <mergeCell ref="Z46:AB46"/>
    <mergeCell ref="T41:Y41"/>
    <mergeCell ref="Z41:AB41"/>
    <mergeCell ref="T42:Y42"/>
    <mergeCell ref="D9:E9"/>
    <mergeCell ref="H9:K9"/>
    <mergeCell ref="L9:R9"/>
    <mergeCell ref="T9:Y9"/>
    <mergeCell ref="Z9:AB9"/>
    <mergeCell ref="S18:Y18"/>
    <mergeCell ref="Z18:AB18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C12:D12"/>
    <mergeCell ref="I12:K12"/>
    <mergeCell ref="L12:R13"/>
    <mergeCell ref="T12:Y12"/>
    <mergeCell ref="Z12:AB12"/>
    <mergeCell ref="D13:E13"/>
    <mergeCell ref="I13:K13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C22:D22"/>
    <mergeCell ref="C23:D23"/>
    <mergeCell ref="C30:E30"/>
    <mergeCell ref="T17:Y17"/>
    <mergeCell ref="C18:E18"/>
    <mergeCell ref="F18:G18"/>
    <mergeCell ref="I22:AB23"/>
    <mergeCell ref="C24:D24"/>
    <mergeCell ref="M30:N30"/>
    <mergeCell ref="O30:S30"/>
    <mergeCell ref="T30:U30"/>
    <mergeCell ref="V30:Y30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Z15:AB15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Z17:AB17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3:Y13"/>
    <mergeCell ref="Z13:AB13"/>
    <mergeCell ref="C14:D14"/>
    <mergeCell ref="C36:E36"/>
    <mergeCell ref="K37:P37"/>
    <mergeCell ref="Q37:R37"/>
    <mergeCell ref="C40:G40"/>
    <mergeCell ref="F41:G41"/>
    <mergeCell ref="I41:K41"/>
    <mergeCell ref="M41:Q41"/>
    <mergeCell ref="Z40:AB40"/>
    <mergeCell ref="C34:E34"/>
    <mergeCell ref="S39:AB39"/>
    <mergeCell ref="C31:E31"/>
    <mergeCell ref="C32:E32"/>
    <mergeCell ref="C28:D28"/>
    <mergeCell ref="C25:D25"/>
    <mergeCell ref="C26:D26"/>
    <mergeCell ref="C27:D27"/>
    <mergeCell ref="C29:D29"/>
    <mergeCell ref="F30:H30"/>
    <mergeCell ref="I30:L30"/>
    <mergeCell ref="M59:P59"/>
    <mergeCell ref="I60:K60"/>
    <mergeCell ref="F49:G49"/>
    <mergeCell ref="F50:G50"/>
    <mergeCell ref="F51:G51"/>
    <mergeCell ref="I51:P51"/>
    <mergeCell ref="S51:AB51"/>
    <mergeCell ref="N46:Q46"/>
    <mergeCell ref="N47:O47"/>
    <mergeCell ref="P47:Q47"/>
    <mergeCell ref="N48:O48"/>
    <mergeCell ref="P48:Q48"/>
    <mergeCell ref="N49:O49"/>
    <mergeCell ref="P49:Q49"/>
    <mergeCell ref="T47:Y47"/>
    <mergeCell ref="Z47:AB47"/>
    <mergeCell ref="T48:Y48"/>
    <mergeCell ref="M60:P60"/>
    <mergeCell ref="I61:K61"/>
    <mergeCell ref="M61:P61"/>
    <mergeCell ref="T44:Y44"/>
    <mergeCell ref="Z44:AB44"/>
    <mergeCell ref="Z42:AB42"/>
    <mergeCell ref="T43:Y43"/>
    <mergeCell ref="Z43:AB43"/>
    <mergeCell ref="Z30:AB30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</mergeCells>
  <printOptions horizontalCentered="1"/>
  <pageMargins left="0.25" right="0.2" top="0.25" bottom="0.25" header="0.3" footer="0.3"/>
  <pageSetup scale="7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014D-37D1-4F41-A1EC-D0D8ADCEB9A7}">
  <sheetPr codeName="Sheet23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'11'!E3+1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'11'!O5:Q5</f>
      </c>
      <c r="P5" s="609"/>
      <c r="Q5" s="609"/>
      <c r="R5" s="263"/>
      <c r="S5" s="609">
        <f>'11'!S5:U5</f>
      </c>
      <c r="T5" s="609"/>
      <c r="U5" s="609"/>
      <c r="V5" s="263"/>
      <c r="W5" s="609">
        <f>'11'!W5:Y5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'11'!E24</f>
      </c>
      <c r="F23" s="311">
        <f>'11'!F24</f>
      </c>
      <c r="G23" s="311">
        <f>'11'!G24</f>
      </c>
      <c r="H23" s="311">
        <f>'11'!H24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'11'!E26</f>
      </c>
      <c r="F25" s="257">
        <f>'11'!F26</f>
      </c>
      <c r="G25" s="257">
        <f>'11'!G26</f>
      </c>
      <c r="H25" s="257">
        <f>'11'!H26</f>
      </c>
      <c r="I25" s="275">
        <f>'11'!I26</f>
      </c>
      <c r="J25" s="275">
        <f>'11'!J26</f>
      </c>
      <c r="K25" s="275">
        <f>'11'!K26</f>
      </c>
      <c r="L25" s="275">
        <f>'11'!L26</f>
      </c>
      <c r="M25" s="275">
        <f>'11'!M26</f>
      </c>
      <c r="N25" s="275">
        <f>'11'!N26</f>
      </c>
      <c r="O25" s="275">
        <f>'11'!O26</f>
      </c>
      <c r="P25" s="275">
        <f>'11'!P26</f>
      </c>
      <c r="Q25" s="275">
        <f>'11'!Q26</f>
      </c>
      <c r="R25" s="275">
        <f>'11'!R26</f>
      </c>
      <c r="S25" s="275">
        <f>'11'!S26</f>
      </c>
      <c r="T25" s="275">
        <f>'11'!T26</f>
      </c>
      <c r="U25" s="275">
        <f>'11'!U26</f>
      </c>
      <c r="V25" s="275">
        <f>'11'!V26</f>
      </c>
      <c r="W25" s="275">
        <f>'11'!W26</f>
      </c>
      <c r="X25" s="275">
        <f>'11'!X26</f>
      </c>
      <c r="Y25" s="275">
        <f>'11'!Y26</f>
      </c>
      <c r="Z25" s="275">
        <f>'11'!Z26</f>
      </c>
      <c r="AA25" s="275">
        <f>'11'!AA26</f>
      </c>
      <c r="AB25" s="275">
        <f>'11'!AB26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'11'!E28</f>
      </c>
      <c r="F28" s="233">
        <f>'11'!F28</f>
      </c>
      <c r="G28" s="233">
        <f>'11'!G28</f>
      </c>
      <c r="H28" s="233">
        <f>'11'!H28</f>
      </c>
      <c r="I28" s="234">
        <f>'11'!I28</f>
      </c>
      <c r="J28" s="234">
        <f>'11'!J28</f>
      </c>
      <c r="K28" s="234">
        <f>'11'!K28</f>
      </c>
      <c r="L28" s="234">
        <f>'11'!L28</f>
      </c>
      <c r="M28" s="234">
        <f>'11'!M28</f>
      </c>
      <c r="N28" s="234">
        <f>'11'!N28</f>
      </c>
      <c r="O28" s="234">
        <f>'11'!O28</f>
      </c>
      <c r="P28" s="234">
        <f>'11'!P28</f>
      </c>
      <c r="Q28" s="234">
        <f>'11'!Q28</f>
      </c>
      <c r="R28" s="234">
        <f>'11'!R28</f>
      </c>
      <c r="S28" s="234">
        <f>'11'!S28</f>
      </c>
      <c r="T28" s="234">
        <f>'11'!T28</f>
      </c>
      <c r="U28" s="234">
        <f>'11'!U28</f>
      </c>
      <c r="V28" s="234">
        <f>'11'!V28</f>
      </c>
      <c r="W28" s="234">
        <f>'11'!W28</f>
      </c>
      <c r="X28" s="234">
        <f>'11'!X28</f>
      </c>
      <c r="Y28" s="234">
        <f>'11'!Y28</f>
      </c>
      <c r="Z28" s="234">
        <f>'11'!Z28</f>
      </c>
      <c r="AA28" s="234">
        <f>'11'!AA28</f>
      </c>
      <c r="AB28" s="234">
        <f>'11'!AB28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'11'!I33</f>
      </c>
      <c r="J32" s="275">
        <f>'11'!J33</f>
      </c>
      <c r="K32" s="275">
        <f>'11'!K33</f>
      </c>
      <c r="L32" s="275">
        <f>'11'!L33</f>
      </c>
      <c r="M32" s="275">
        <f>'11'!M33</f>
      </c>
      <c r="N32" s="275">
        <f>'11'!N33</f>
      </c>
      <c r="O32" s="275">
        <f>'11'!O33</f>
      </c>
      <c r="P32" s="275">
        <f>'11'!P33</f>
      </c>
      <c r="Q32" s="275">
        <f>'11'!Q33</f>
      </c>
      <c r="R32" s="275">
        <f>'11'!R33</f>
      </c>
      <c r="S32" s="275">
        <f>'11'!S33</f>
      </c>
      <c r="T32" s="275">
        <f>'11'!T33</f>
      </c>
      <c r="U32" s="275">
        <f>'11'!U33</f>
      </c>
      <c r="V32" s="275">
        <f>'11'!V33</f>
      </c>
      <c r="W32" s="275">
        <f>'11'!W33</f>
      </c>
      <c r="X32" s="275">
        <f>'11'!X33</f>
      </c>
      <c r="Y32" s="275">
        <f>'11'!Y33</f>
      </c>
      <c r="Z32" s="275">
        <f>'11'!Z33</f>
      </c>
      <c r="AA32" s="275">
        <f>'11'!AA33</f>
      </c>
      <c r="AB32" s="275">
        <f>'11'!AB33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'11'!I35</f>
      </c>
      <c r="J35" s="292">
        <f>'11'!J35</f>
      </c>
      <c r="K35" s="292">
        <f>'11'!K35</f>
      </c>
      <c r="L35" s="292">
        <f>'11'!L35</f>
      </c>
      <c r="M35" s="292">
        <f>'11'!M35</f>
      </c>
      <c r="N35" s="292">
        <f>'11'!N35</f>
      </c>
      <c r="O35" s="292">
        <f>'11'!O35</f>
      </c>
      <c r="P35" s="292">
        <f>'11'!P35</f>
      </c>
      <c r="Q35" s="292">
        <f>'11'!Q35</f>
      </c>
      <c r="R35" s="292">
        <f>'11'!R35</f>
      </c>
      <c r="S35" s="292">
        <f>'11'!S35</f>
      </c>
      <c r="T35" s="292">
        <f>'11'!T35</f>
      </c>
      <c r="U35" s="292">
        <f>'11'!U35</f>
      </c>
      <c r="V35" s="292">
        <f>'11'!V35</f>
      </c>
      <c r="W35" s="292">
        <f>'11'!W35</f>
      </c>
      <c r="X35" s="292">
        <f>'11'!X35</f>
      </c>
      <c r="Y35" s="292">
        <f>'11'!Y35</f>
      </c>
      <c r="Z35" s="292">
        <f>'11'!Z35</f>
      </c>
      <c r="AA35" s="292">
        <f>'11'!AA35</f>
      </c>
      <c r="AB35" s="292">
        <f>'11'!AB35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F36+'11'!F37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L7+'11'!F41:G41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F16+'11'!F42:G42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F17+'11'!F43:G43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L12+'11'!F44:G44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Z30+'11'!F45:G45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Z9+'11'!F46:G46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(F45-F46)+'11'!F47:G47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F31+'11'!F48:G48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F15+'11'!F49:G49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(128.55+29.42+665.77)/7++'11'!F50:G50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Z10+'11'!F51:G51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F18+'11'!F52:G52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(F7-Z9)+'11'!F53:G53</f>
      </c>
      <c r="G53" s="385"/>
      <c r="I53" t="s" s="441">
        <v>328</v>
      </c>
      <c r="J53" s="420"/>
      <c r="K53" s="420"/>
      <c r="L53" s="238"/>
      <c r="M53" s="418">
        <f>L53+'11'!M53:P53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L54+'11'!M54:P54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L55+'11'!M55:P55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L56+'11'!M56:P56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L57+'11'!M57:P57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L58+'11'!M58:P58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L59+'11'!M59:P59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L60+'11'!M60:P60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L61+'11'!M61:P61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L62+'11'!M62:P62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L63+'11'!M63:P63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520A-002D-4C0D-BE26-B079051BB9A7}">
  <sheetPr codeName="Sheet24"/>
  <sheetViews>
    <sheetView topLeftCell="C1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'12'!E3+1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'12'!O5:Q5</f>
      </c>
      <c r="P5" s="609"/>
      <c r="Q5" s="609"/>
      <c r="R5" s="263"/>
      <c r="S5" s="609">
        <f>'12'!S5:U5</f>
      </c>
      <c r="T5" s="609"/>
      <c r="U5" s="609"/>
      <c r="V5" s="263"/>
      <c r="W5" s="609">
        <f>'12'!W5:Y5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'12'!E24</f>
      </c>
      <c r="F23" s="311">
        <f>'12'!F24</f>
      </c>
      <c r="G23" s="311">
        <f>'12'!G24</f>
      </c>
      <c r="H23" s="311">
        <f>'12'!H24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'12'!E26</f>
      </c>
      <c r="F25" s="257">
        <f>'12'!F26</f>
      </c>
      <c r="G25" s="257">
        <f>'12'!G26</f>
      </c>
      <c r="H25" s="257">
        <f>'12'!H26</f>
      </c>
      <c r="I25" s="275">
        <f>'12'!I26</f>
      </c>
      <c r="J25" s="275">
        <f>'12'!J26</f>
      </c>
      <c r="K25" s="275">
        <f>'12'!K26</f>
      </c>
      <c r="L25" s="275">
        <f>'12'!L26</f>
      </c>
      <c r="M25" s="275">
        <f>'12'!M26</f>
      </c>
      <c r="N25" s="275">
        <f>'12'!N26</f>
      </c>
      <c r="O25" s="275">
        <f>'12'!O26</f>
      </c>
      <c r="P25" s="275">
        <f>'12'!P26</f>
      </c>
      <c r="Q25" s="275">
        <f>'12'!Q26</f>
      </c>
      <c r="R25" s="275">
        <f>'12'!R26</f>
      </c>
      <c r="S25" s="275">
        <f>'12'!S26</f>
      </c>
      <c r="T25" s="275">
        <f>'12'!T26</f>
      </c>
      <c r="U25" s="275">
        <f>'12'!U26</f>
      </c>
      <c r="V25" s="275">
        <f>'12'!V26</f>
      </c>
      <c r="W25" s="275">
        <f>'12'!W26</f>
      </c>
      <c r="X25" s="275">
        <f>'12'!X26</f>
      </c>
      <c r="Y25" s="275">
        <f>'12'!Y26</f>
      </c>
      <c r="Z25" s="275">
        <f>'12'!Z26</f>
      </c>
      <c r="AA25" s="275">
        <f>'12'!AA26</f>
      </c>
      <c r="AB25" s="275">
        <f>'12'!AB26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346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346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346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346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346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346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346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346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346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346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346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346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346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346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346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346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346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346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346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346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'12'!E28</f>
      </c>
      <c r="F28" s="233">
        <f>'12'!F28</f>
      </c>
      <c r="G28" s="233">
        <f>'12'!G28</f>
      </c>
      <c r="H28" s="233">
        <f>'12'!H28</f>
      </c>
      <c r="I28" s="234">
        <f>'12'!I28</f>
      </c>
      <c r="J28" s="234">
        <f>'12'!J28</f>
      </c>
      <c r="K28" s="234">
        <f>'12'!K28</f>
      </c>
      <c r="L28" s="234">
        <f>'12'!L28</f>
      </c>
      <c r="M28" s="234">
        <f>'12'!M28</f>
      </c>
      <c r="N28" s="234">
        <f>'12'!N28</f>
      </c>
      <c r="O28" s="234">
        <f>'12'!O28</f>
      </c>
      <c r="P28" s="234">
        <f>'12'!P28</f>
      </c>
      <c r="Q28" s="234">
        <f>'12'!Q28</f>
      </c>
      <c r="R28" s="234">
        <f>'12'!R28</f>
      </c>
      <c r="S28" s="234">
        <f>'12'!S28</f>
      </c>
      <c r="T28" s="234">
        <f>'12'!T28</f>
      </c>
      <c r="U28" s="234">
        <f>'12'!U28</f>
      </c>
      <c r="V28" s="234">
        <f>'12'!V28</f>
      </c>
      <c r="W28" s="234">
        <f>'12'!W28</f>
      </c>
      <c r="X28" s="234">
        <f>'12'!X28</f>
      </c>
      <c r="Y28" s="234">
        <f>'12'!Y28</f>
      </c>
      <c r="Z28" s="234">
        <f>'12'!Z28</f>
      </c>
      <c r="AA28" s="234">
        <f>'12'!AA28</f>
      </c>
      <c r="AB28" s="234">
        <f>'12'!AB28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'12'!I33</f>
      </c>
      <c r="J32" s="275">
        <f>'12'!J33</f>
      </c>
      <c r="K32" s="275">
        <f>'12'!K33</f>
      </c>
      <c r="L32" s="275">
        <f>'12'!L33</f>
      </c>
      <c r="M32" s="275">
        <f>'12'!M33</f>
      </c>
      <c r="N32" s="275">
        <f>'12'!N33</f>
      </c>
      <c r="O32" s="275">
        <f>'12'!O33</f>
      </c>
      <c r="P32" s="275">
        <f>'12'!P33</f>
      </c>
      <c r="Q32" s="275">
        <f>'12'!Q33</f>
      </c>
      <c r="R32" s="275">
        <f>'12'!R33</f>
      </c>
      <c r="S32" s="275">
        <f>'12'!S33</f>
      </c>
      <c r="T32" s="275">
        <f>'12'!T33</f>
      </c>
      <c r="U32" s="275">
        <f>'12'!U33</f>
      </c>
      <c r="V32" s="275">
        <f>'12'!V33</f>
      </c>
      <c r="W32" s="275">
        <f>'12'!W33</f>
      </c>
      <c r="X32" s="275">
        <f>'12'!X33</f>
      </c>
      <c r="Y32" s="275">
        <f>'12'!Y33</f>
      </c>
      <c r="Z32" s="275">
        <f>'12'!Z33</f>
      </c>
      <c r="AA32" s="275">
        <f>'12'!AA33</f>
      </c>
      <c r="AB32" s="275">
        <f>'12'!AB33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'12'!I35</f>
      </c>
      <c r="J35" s="292">
        <f>'12'!J35</f>
      </c>
      <c r="K35" s="292">
        <f>'12'!K35</f>
      </c>
      <c r="L35" s="292">
        <f>'12'!L35</f>
      </c>
      <c r="M35" s="292">
        <f>'12'!M35</f>
      </c>
      <c r="N35" s="292">
        <f>'12'!N35</f>
      </c>
      <c r="O35" s="292">
        <f>'12'!O35</f>
      </c>
      <c r="P35" s="292">
        <f>'12'!P35</f>
      </c>
      <c r="Q35" s="292">
        <f>'12'!Q35</f>
      </c>
      <c r="R35" s="292">
        <f>'12'!R35</f>
      </c>
      <c r="S35" s="292">
        <f>'12'!S35</f>
      </c>
      <c r="T35" s="292">
        <f>'12'!T35</f>
      </c>
      <c r="U35" s="292">
        <f>'12'!U35</f>
      </c>
      <c r="V35" s="292">
        <f>'12'!V35</f>
      </c>
      <c r="W35" s="292">
        <f>'12'!W35</f>
      </c>
      <c r="X35" s="292">
        <f>'12'!X35</f>
      </c>
      <c r="Y35" s="292">
        <f>'12'!Y35</f>
      </c>
      <c r="Z35" s="292">
        <f>'12'!Z35</f>
      </c>
      <c r="AA35" s="292">
        <f>'12'!AA35</f>
      </c>
      <c r="AB35" s="292">
        <f>'12'!AB35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F36+'12'!F37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L7+'12'!F41:G41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F16+'12'!F42:G42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F17+'12'!F43:G43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L12+'12'!F44:G44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Z30+'12'!F45:G45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Z9+'12'!F46:G46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(F45-F46)+'12'!F47:G47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F31+'12'!F48:G48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F15+'12'!F49:G49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(128.55+29.42+665.77)/7++'12'!F50:G50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Z10+'12'!F51:G51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F18+'12'!F52:G52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(F7-Z9)+'12'!F53:G53</f>
      </c>
      <c r="G53" s="385"/>
      <c r="I53" t="s" s="441">
        <v>328</v>
      </c>
      <c r="J53" s="420"/>
      <c r="K53" s="420"/>
      <c r="L53" s="238"/>
      <c r="M53" s="418">
        <f>L53+'12'!M53:P53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L54+'12'!M54:P54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L55+'12'!M55:P55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L56+'12'!M56:P56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L57+'12'!M57:P57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L58+'12'!M58:P58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L59+'12'!M59:P59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L60+'12'!M60:P60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L61+'12'!M61:P61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L62+'12'!M62:P62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L63+'12'!M63:P63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7DE9-8D19-4522-BA0B-78596539B9A7}">
  <sheetPr codeName="Sheet25"/>
  <sheetViews>
    <sheetView topLeftCell="A11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'13'!E3+1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'13'!O5:Q5</f>
      </c>
      <c r="P5" s="609"/>
      <c r="Q5" s="609"/>
      <c r="R5" s="263"/>
      <c r="S5" s="609">
        <f>'13'!S5:U5</f>
      </c>
      <c r="T5" s="609"/>
      <c r="U5" s="609"/>
      <c r="V5" s="263"/>
      <c r="W5" s="609">
        <f>'13'!W5:Y5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'13'!E24</f>
      </c>
      <c r="F23" s="311">
        <f>'13'!F24</f>
      </c>
      <c r="G23" s="311">
        <f>'13'!G24</f>
      </c>
      <c r="H23" s="311">
        <f>'13'!H24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'13'!E26</f>
      </c>
      <c r="F25" s="257">
        <f>'13'!F26</f>
      </c>
      <c r="G25" s="257">
        <f>'13'!G26</f>
      </c>
      <c r="H25" s="257">
        <f>'13'!H26</f>
      </c>
      <c r="I25" s="275">
        <f>'13'!I26</f>
      </c>
      <c r="J25" s="275">
        <f>'13'!J26</f>
      </c>
      <c r="K25" s="275">
        <f>'13'!K26</f>
      </c>
      <c r="L25" s="275">
        <f>'13'!L26</f>
      </c>
      <c r="M25" s="275">
        <f>'13'!M26</f>
      </c>
      <c r="N25" s="275">
        <f>'13'!N26</f>
      </c>
      <c r="O25" s="275">
        <f>'13'!O26</f>
      </c>
      <c r="P25" s="275">
        <f>'13'!P26</f>
      </c>
      <c r="Q25" s="275">
        <f>'13'!Q26</f>
      </c>
      <c r="R25" s="275">
        <f>'13'!R26</f>
      </c>
      <c r="S25" s="275">
        <f>'13'!S26</f>
      </c>
      <c r="T25" s="275">
        <f>'13'!T26</f>
      </c>
      <c r="U25" s="275">
        <f>'13'!U26</f>
      </c>
      <c r="V25" s="275">
        <f>'13'!V26</f>
      </c>
      <c r="W25" s="275">
        <f>'13'!W26</f>
      </c>
      <c r="X25" s="275">
        <f>'13'!X26</f>
      </c>
      <c r="Y25" s="275">
        <f>'13'!Y26</f>
      </c>
      <c r="Z25" s="275">
        <f>'13'!Z26</f>
      </c>
      <c r="AA25" s="275">
        <f>'13'!AA26</f>
      </c>
      <c r="AB25" s="275">
        <f>'13'!AB26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'13'!E28</f>
      </c>
      <c r="F28" s="233">
        <f>'13'!F28</f>
      </c>
      <c r="G28" s="233">
        <f>'13'!G28</f>
      </c>
      <c r="H28" s="233">
        <f>'13'!H28</f>
      </c>
      <c r="I28" s="234">
        <f>'13'!I28</f>
      </c>
      <c r="J28" s="234">
        <f>'13'!J28</f>
      </c>
      <c r="K28" s="234">
        <f>'13'!K28</f>
      </c>
      <c r="L28" s="234">
        <f>'13'!L28</f>
      </c>
      <c r="M28" s="234">
        <f>'13'!M28</f>
      </c>
      <c r="N28" s="234">
        <f>'13'!N28</f>
      </c>
      <c r="O28" s="234">
        <f>'13'!O28</f>
      </c>
      <c r="P28" s="234">
        <f>'13'!P28</f>
      </c>
      <c r="Q28" s="234">
        <f>'13'!Q28</f>
      </c>
      <c r="R28" s="234">
        <f>'13'!R28</f>
      </c>
      <c r="S28" s="234">
        <f>'13'!S28</f>
      </c>
      <c r="T28" s="234">
        <f>'13'!T28</f>
      </c>
      <c r="U28" s="234">
        <f>'13'!U28</f>
      </c>
      <c r="V28" s="234">
        <f>'13'!V28</f>
      </c>
      <c r="W28" s="234">
        <f>'13'!W28</f>
      </c>
      <c r="X28" s="234">
        <f>'13'!X28</f>
      </c>
      <c r="Y28" s="234">
        <f>'13'!Y28</f>
      </c>
      <c r="Z28" s="234">
        <f>'13'!Z28</f>
      </c>
      <c r="AA28" s="234">
        <f>'13'!AA28</f>
      </c>
      <c r="AB28" s="234">
        <f>'13'!AB28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'13'!I33</f>
      </c>
      <c r="J32" s="275">
        <f>'13'!J33</f>
      </c>
      <c r="K32" s="275">
        <f>'13'!K33</f>
      </c>
      <c r="L32" s="275">
        <f>'13'!L33</f>
      </c>
      <c r="M32" s="275">
        <f>'13'!M33</f>
      </c>
      <c r="N32" s="275">
        <f>'13'!N33</f>
      </c>
      <c r="O32" s="275">
        <f>'13'!O33</f>
      </c>
      <c r="P32" s="275">
        <f>'13'!P33</f>
      </c>
      <c r="Q32" s="275">
        <f>'13'!Q33</f>
      </c>
      <c r="R32" s="275">
        <f>'13'!R33</f>
      </c>
      <c r="S32" s="275">
        <f>'13'!S33</f>
      </c>
      <c r="T32" s="275">
        <f>'13'!T33</f>
      </c>
      <c r="U32" s="275">
        <f>'13'!U33</f>
      </c>
      <c r="V32" s="275">
        <f>'13'!V33</f>
      </c>
      <c r="W32" s="275">
        <f>'13'!W33</f>
      </c>
      <c r="X32" s="275">
        <f>'13'!X33</f>
      </c>
      <c r="Y32" s="275">
        <f>'13'!Y33</f>
      </c>
      <c r="Z32" s="275">
        <f>'13'!Z33</f>
      </c>
      <c r="AA32" s="275">
        <f>'13'!AA33</f>
      </c>
      <c r="AB32" s="275">
        <f>'13'!AB33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r="I34" s="287">
        <f>I33-I32</f>
      </c>
      <c r="J34" s="288">
        <f>J33-J32</f>
      </c>
      <c r="K34" s="289">
        <f>K33-K32</f>
      </c>
      <c r="L34" s="290">
        <f>L33-L32</f>
      </c>
      <c r="M34" s="290">
        <f t="shared" ref="M34:R34" si="1">M33-M32</f>
      </c>
      <c r="N34" s="290">
        <f t="shared" si="1"/>
      </c>
      <c r="O34" s="290">
        <f t="shared" si="1"/>
      </c>
      <c r="P34" s="290">
        <f t="shared" si="1"/>
      </c>
      <c r="Q34" s="290">
        <f t="shared" si="1"/>
      </c>
      <c r="R34" s="291">
        <f t="shared" si="1"/>
      </c>
      <c r="S34" s="287">
        <f>S33-S32</f>
      </c>
      <c r="T34" s="288">
        <f>T33-T32</f>
      </c>
      <c r="U34" s="289">
        <f>U33-U32</f>
      </c>
      <c r="V34" s="290">
        <f>V33-V32</f>
      </c>
      <c r="W34" s="290">
        <f t="shared" ref="W34:AB34" si="2">W33-W32</f>
      </c>
      <c r="X34" s="290">
        <f t="shared" si="2"/>
      </c>
      <c r="Y34" s="290">
        <f t="shared" si="2"/>
      </c>
      <c r="Z34" s="290">
        <f t="shared" si="2"/>
      </c>
      <c r="AA34" s="290">
        <f t="shared" si="2"/>
      </c>
      <c r="AB34" s="291">
        <f t="shared" si="2"/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'13'!I35</f>
      </c>
      <c r="J35" s="292">
        <f>'13'!J35</f>
      </c>
      <c r="K35" s="292">
        <f>'13'!K35</f>
      </c>
      <c r="L35" s="292">
        <f>'13'!L35</f>
      </c>
      <c r="M35" s="292">
        <f>'13'!M35</f>
      </c>
      <c r="N35" s="292">
        <f>'13'!N35</f>
      </c>
      <c r="O35" s="292">
        <f>'13'!O35</f>
      </c>
      <c r="P35" s="292">
        <f>'13'!P35</f>
      </c>
      <c r="Q35" s="292">
        <f>'13'!Q35</f>
      </c>
      <c r="R35" s="292">
        <f>'13'!R35</f>
      </c>
      <c r="S35" s="292">
        <f>'13'!S35</f>
      </c>
      <c r="T35" s="292">
        <f>'13'!T35</f>
      </c>
      <c r="U35" s="292">
        <f>'13'!U35</f>
      </c>
      <c r="V35" s="292">
        <f>'13'!V35</f>
      </c>
      <c r="W35" s="292">
        <f>'13'!W35</f>
      </c>
      <c r="X35" s="292">
        <f>'13'!X35</f>
      </c>
      <c r="Y35" s="292">
        <f>'13'!Y35</f>
      </c>
      <c r="Z35" s="292">
        <f>'13'!Z35</f>
      </c>
      <c r="AA35" s="292">
        <f>'13'!AA35</f>
      </c>
      <c r="AB35" s="292">
        <f>'13'!AB35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3">M35*M34</f>
      </c>
      <c r="N36" s="294">
        <f t="shared" si="3"/>
      </c>
      <c r="O36" s="294">
        <f t="shared" si="3"/>
      </c>
      <c r="P36" s="294">
        <f t="shared" si="3"/>
      </c>
      <c r="Q36" s="294">
        <f t="shared" si="3"/>
      </c>
      <c r="R36" s="344">
        <f t="shared" si="3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4">W35*W34</f>
      </c>
      <c r="X36" s="294">
        <f t="shared" si="4"/>
      </c>
      <c r="Y36" s="294">
        <f t="shared" si="4"/>
      </c>
      <c r="Z36" s="294">
        <f t="shared" si="4"/>
      </c>
      <c r="AA36" s="294">
        <f t="shared" si="4"/>
      </c>
      <c r="AB36" s="344">
        <f t="shared" si="4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F36+'13'!F37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L7+'13'!F41:G41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F16+'13'!F42:G42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F17+'13'!F43:G43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L12+'13'!F44:G44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Z30+'13'!F45:G45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Z9+'13'!F46:G46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(F45-F46)+'13'!F47:G47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F31+'13'!F48:G48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F15+'13'!F49:G49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(128.55+29.42+665.77)/7++'13'!F50:G50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Z10+'13'!F51:G51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F18+'13'!F52:G52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(F7-Z9)+'13'!F53:G53</f>
      </c>
      <c r="G53" s="385"/>
      <c r="I53" t="s" s="441">
        <v>328</v>
      </c>
      <c r="J53" s="420"/>
      <c r="K53" s="420"/>
      <c r="L53" s="238"/>
      <c r="M53" s="418">
        <f>L53+'13'!M53:P53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L54+'13'!M54:P54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L55+'13'!M55:P55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L56+'13'!M56:P56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L57+'13'!M57:P57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L58+'13'!M58:P58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L59+'13'!M59:P59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L60+'13'!M60:P60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L61+'13'!M61:P61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L62+'13'!M62:P62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L63+'13'!M63:P63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M64:P64"/>
    <mergeCell ref="C37:E37"/>
    <mergeCell ref="C52:E52"/>
    <mergeCell ref="F52:G52"/>
    <mergeCell ref="C53:E53"/>
    <mergeCell ref="F53:G53"/>
    <mergeCell ref="I62:K62"/>
    <mergeCell ref="M62:P62"/>
    <mergeCell ref="I63:K63"/>
    <mergeCell ref="M63:P63"/>
    <mergeCell ref="I53:K53"/>
    <mergeCell ref="I54:K54"/>
    <mergeCell ref="I55:K55"/>
    <mergeCell ref="I56:K56"/>
    <mergeCell ref="I57:K57"/>
    <mergeCell ref="I58:K58"/>
    <mergeCell ref="I59:K59"/>
    <mergeCell ref="I60:K60"/>
    <mergeCell ref="M52:P52"/>
    <mergeCell ref="M53:P53"/>
    <mergeCell ref="M54:P54"/>
    <mergeCell ref="M55:P55"/>
    <mergeCell ref="M56:P56"/>
    <mergeCell ref="I61:K61"/>
    <mergeCell ref="C22:D22"/>
    <mergeCell ref="C23:D23"/>
    <mergeCell ref="T41:Y41"/>
    <mergeCell ref="Z41:AB41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28:D28"/>
    <mergeCell ref="C29:D29"/>
    <mergeCell ref="F30:H30"/>
    <mergeCell ref="I30:L30"/>
    <mergeCell ref="M30:N30"/>
    <mergeCell ref="O30:S30"/>
    <mergeCell ref="T30:U30"/>
    <mergeCell ref="C25:D25"/>
    <mergeCell ref="C26:D26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L5:N5"/>
    <mergeCell ref="O5:Q5"/>
    <mergeCell ref="S5:U5"/>
    <mergeCell ref="D9:E9"/>
    <mergeCell ref="H9:K9"/>
    <mergeCell ref="C12:D12"/>
    <mergeCell ref="I12:K12"/>
    <mergeCell ref="L12:R13"/>
    <mergeCell ref="T12:Y12"/>
    <mergeCell ref="Z12:AB12"/>
    <mergeCell ref="D13:E13"/>
    <mergeCell ref="I13:K13"/>
    <mergeCell ref="T13:Y13"/>
    <mergeCell ref="Z13:AB13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Z15:AB15"/>
    <mergeCell ref="C20:D21"/>
    <mergeCell ref="E20:G21"/>
    <mergeCell ref="H20:H21"/>
    <mergeCell ref="I20:O21"/>
    <mergeCell ref="P20:R21"/>
    <mergeCell ref="S20:Y21"/>
    <mergeCell ref="Z20:AB21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C27:D27"/>
    <mergeCell ref="V30:Y30"/>
    <mergeCell ref="Z30:AB30"/>
    <mergeCell ref="C34:E34"/>
    <mergeCell ref="C32:E32"/>
    <mergeCell ref="C35:E35"/>
    <mergeCell ref="C30:E30"/>
    <mergeCell ref="C31:E31"/>
    <mergeCell ref="K37:P37"/>
    <mergeCell ref="Q37:R37"/>
    <mergeCell ref="W5:Y5"/>
    <mergeCell ref="S52:AB61"/>
    <mergeCell ref="T40:Y40"/>
    <mergeCell ref="Z40:AB40"/>
    <mergeCell ref="T42:Y42"/>
    <mergeCell ref="Z42:AB42"/>
    <mergeCell ref="T43:Y43"/>
    <mergeCell ref="Z43:AB43"/>
    <mergeCell ref="T44:Y44"/>
    <mergeCell ref="Z44:AB44"/>
    <mergeCell ref="T45:Y45"/>
    <mergeCell ref="Z45:AB45"/>
    <mergeCell ref="T48:Y48"/>
    <mergeCell ref="U49:Y49"/>
    <mergeCell ref="Z49:AB49"/>
    <mergeCell ref="Z48:AB48"/>
    <mergeCell ref="T46:Y46"/>
    <mergeCell ref="Z46:AB46"/>
    <mergeCell ref="T47:Y47"/>
    <mergeCell ref="Z47:AB47"/>
    <mergeCell ref="S39:AB39"/>
    <mergeCell ref="C3:D3"/>
    <mergeCell ref="Z5:AB5"/>
    <mergeCell ref="I22:AB23"/>
    <mergeCell ref="S51:AB51"/>
    <mergeCell ref="C36:E36"/>
    <mergeCell ref="I43:J43"/>
    <mergeCell ref="M43:N43"/>
    <mergeCell ref="M44:N44"/>
    <mergeCell ref="C24:D24"/>
    <mergeCell ref="I41:K41"/>
    <mergeCell ref="I42:J42"/>
    <mergeCell ref="C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I51:P51"/>
    <mergeCell ref="M57:P57"/>
    <mergeCell ref="M58:P58"/>
    <mergeCell ref="M59:P59"/>
    <mergeCell ref="M60:P60"/>
    <mergeCell ref="M42:N42"/>
    <mergeCell ref="I52:K52"/>
    <mergeCell ref="M61:P61"/>
    <mergeCell ref="M41:Q41"/>
    <mergeCell ref="O42:Q42"/>
    <mergeCell ref="O43:Q43"/>
    <mergeCell ref="O44:Q44"/>
    <mergeCell ref="N48:O48"/>
    <mergeCell ref="P48:Q48"/>
    <mergeCell ref="N49:O49"/>
    <mergeCell ref="P49:Q49"/>
    <mergeCell ref="N46:Q46"/>
    <mergeCell ref="N47:O47"/>
    <mergeCell ref="P47:Q47"/>
  </mergeCells>
  <printOptions horizontalCentered="1"/>
  <pageMargins left="0.25" right="0.2" top="0.25" bottom="0.25" header="0.3" footer="0.3"/>
  <pageSetup scale="7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EC28-950B-4E5C-9584-C1E54F8CB9A7}">
  <sheetPr codeName="Sheet26"/>
  <sheetViews>
    <sheetView topLeftCell="A10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'14'!E3+1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'14'!O5:Q5</f>
      </c>
      <c r="P5" s="609"/>
      <c r="Q5" s="609"/>
      <c r="R5" s="263"/>
      <c r="S5" s="609">
        <f>'14'!S5:U5</f>
      </c>
      <c r="T5" s="609"/>
      <c r="U5" s="609"/>
      <c r="V5" s="263"/>
      <c r="W5" s="609">
        <f>'14'!W5:Y5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'14'!E24</f>
      </c>
      <c r="F23" s="311">
        <f>'14'!F24</f>
      </c>
      <c r="G23" s="311">
        <f>'14'!G24</f>
      </c>
      <c r="H23" s="311">
        <f>'14'!H24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'14'!E26</f>
      </c>
      <c r="F25" s="257">
        <f>'14'!F26</f>
      </c>
      <c r="G25" s="257">
        <f>'14'!G26</f>
      </c>
      <c r="H25" s="257">
        <f>'14'!H26</f>
      </c>
      <c r="I25" s="275">
        <f>'14'!I26</f>
      </c>
      <c r="J25" s="275">
        <f>'14'!J26</f>
      </c>
      <c r="K25" s="275">
        <f>'14'!K26</f>
      </c>
      <c r="L25" s="275">
        <f>'14'!L26</f>
      </c>
      <c r="M25" s="275">
        <f>'14'!M26</f>
      </c>
      <c r="N25" s="275">
        <f>'14'!N26</f>
      </c>
      <c r="O25" s="275">
        <f>'14'!O26</f>
      </c>
      <c r="P25" s="275">
        <f>'14'!P26</f>
      </c>
      <c r="Q25" s="275">
        <f>'14'!Q26</f>
      </c>
      <c r="R25" s="275">
        <f>'14'!R26</f>
      </c>
      <c r="S25" s="275">
        <f>'14'!S26</f>
      </c>
      <c r="T25" s="275">
        <f>'14'!T26</f>
      </c>
      <c r="U25" s="275">
        <f>'14'!U26</f>
      </c>
      <c r="V25" s="275">
        <f>'14'!V26</f>
      </c>
      <c r="W25" s="275">
        <f>'14'!W26</f>
      </c>
      <c r="X25" s="275">
        <f>'14'!X26</f>
      </c>
      <c r="Y25" s="275">
        <f>'14'!Y26</f>
      </c>
      <c r="Z25" s="275">
        <f>'14'!Z26</f>
      </c>
      <c r="AA25" s="275">
        <f>'14'!AA26</f>
      </c>
      <c r="AB25" s="275">
        <f>'14'!AB26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'14'!E28</f>
      </c>
      <c r="F28" s="233">
        <f>'14'!F28</f>
      </c>
      <c r="G28" s="233">
        <f>'14'!G28</f>
      </c>
      <c r="H28" s="233">
        <f>'14'!H28</f>
      </c>
      <c r="I28" s="234">
        <f>'14'!I28</f>
      </c>
      <c r="J28" s="234">
        <f>'14'!J28</f>
      </c>
      <c r="K28" s="234">
        <f>'14'!K28</f>
      </c>
      <c r="L28" s="234">
        <f>'14'!L28</f>
      </c>
      <c r="M28" s="234">
        <f>'14'!M28</f>
      </c>
      <c r="N28" s="234">
        <f>'14'!N28</f>
      </c>
      <c r="O28" s="234">
        <f>'14'!O28</f>
      </c>
      <c r="P28" s="234">
        <f>'14'!P28</f>
      </c>
      <c r="Q28" s="234">
        <f>'14'!Q28</f>
      </c>
      <c r="R28" s="234">
        <f>'14'!R28</f>
      </c>
      <c r="S28" s="234">
        <f>'14'!S28</f>
      </c>
      <c r="T28" s="234">
        <f>'14'!T28</f>
      </c>
      <c r="U28" s="234">
        <f>'14'!U28</f>
      </c>
      <c r="V28" s="234">
        <f>'14'!V28</f>
      </c>
      <c r="W28" s="234">
        <f>'14'!W28</f>
      </c>
      <c r="X28" s="234">
        <f>'14'!X28</f>
      </c>
      <c r="Y28" s="234">
        <f>'14'!Y28</f>
      </c>
      <c r="Z28" s="234">
        <f>'14'!Z28</f>
      </c>
      <c r="AA28" s="234">
        <f>'14'!AA28</f>
      </c>
      <c r="AB28" s="234">
        <f>'14'!AB28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'14'!I33</f>
      </c>
      <c r="J32" s="275">
        <f>'14'!J33</f>
      </c>
      <c r="K32" s="275">
        <f>'14'!K33</f>
      </c>
      <c r="L32" s="275">
        <f>'14'!L33</f>
      </c>
      <c r="M32" s="275">
        <f>'14'!M33</f>
      </c>
      <c r="N32" s="275">
        <f>'14'!N33</f>
      </c>
      <c r="O32" s="275">
        <f>'14'!O33</f>
      </c>
      <c r="P32" s="275">
        <f>'14'!P33</f>
      </c>
      <c r="Q32" s="275">
        <f>'14'!Q33</f>
      </c>
      <c r="R32" s="275">
        <f>'14'!R33</f>
      </c>
      <c r="S32" s="275">
        <f>'14'!S33</f>
      </c>
      <c r="T32" s="275">
        <f>'14'!T33</f>
      </c>
      <c r="U32" s="275">
        <f>'14'!U33</f>
      </c>
      <c r="V32" s="275">
        <f>'14'!V33</f>
      </c>
      <c r="W32" s="275">
        <f>'14'!W33</f>
      </c>
      <c r="X32" s="275">
        <f>'14'!X33</f>
      </c>
      <c r="Y32" s="275">
        <f>'14'!Y33</f>
      </c>
      <c r="Z32" s="275">
        <f>'14'!Z33</f>
      </c>
      <c r="AA32" s="275">
        <f>'14'!AA33</f>
      </c>
      <c r="AB32" s="275">
        <f>'14'!AB33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'14'!I35</f>
      </c>
      <c r="J35" s="292">
        <f>'14'!J35</f>
      </c>
      <c r="K35" s="292">
        <f>'14'!K35</f>
      </c>
      <c r="L35" s="292">
        <f>'14'!L35</f>
      </c>
      <c r="M35" s="292">
        <f>'14'!M35</f>
      </c>
      <c r="N35" s="292">
        <f>'14'!N35</f>
      </c>
      <c r="O35" s="292">
        <f>'14'!O35</f>
      </c>
      <c r="P35" s="292">
        <f>'14'!P35</f>
      </c>
      <c r="Q35" s="292">
        <f>'14'!Q35</f>
      </c>
      <c r="R35" s="292">
        <f>'14'!R35</f>
      </c>
      <c r="S35" s="292">
        <f>'14'!S35</f>
      </c>
      <c r="T35" s="292">
        <f>'14'!T35</f>
      </c>
      <c r="U35" s="292">
        <f>'14'!U35</f>
      </c>
      <c r="V35" s="292">
        <f>'14'!V35</f>
      </c>
      <c r="W35" s="292">
        <f>'14'!W35</f>
      </c>
      <c r="X35" s="292">
        <f>'14'!X35</f>
      </c>
      <c r="Y35" s="292">
        <f>'14'!Y35</f>
      </c>
      <c r="Z35" s="292">
        <f>'14'!Z35</f>
      </c>
      <c r="AA35" s="292">
        <f>'14'!AA35</f>
      </c>
      <c r="AB35" s="292">
        <f>'14'!AB35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F36+'14'!F37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L7+'14'!F41:G41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F16+'14'!F42:G42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F17+'14'!F43:G43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L12+'14'!F44:G44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Z30+'14'!F45:G45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Z9+'14'!F46:G46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(F45-F46)+'14'!F47:G47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F31+'14'!F48:G48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F15+'14'!F49:G49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(128.55+29.42+665.77)/7++'14'!F50:G50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Z10+'14'!F51:G51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F18+'14'!F52:G52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(F7-Z9)+'14'!F53:G53</f>
      </c>
      <c r="G53" s="385"/>
      <c r="I53" t="s" s="441">
        <v>328</v>
      </c>
      <c r="J53" s="420"/>
      <c r="K53" s="420"/>
      <c r="L53" s="238"/>
      <c r="M53" s="418">
        <f>L53+'14'!M53:P53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L54+'14'!M54:P54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L55+'14'!M55:P55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850">
        <f>L56+'14'!M56:P56</f>
      </c>
      <c r="N56" s="850"/>
      <c r="O56" s="850"/>
      <c r="P56" s="851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850">
        <f>L57+'14'!M57:P57</f>
      </c>
      <c r="N57" s="850"/>
      <c r="O57" s="850"/>
      <c r="P57" s="851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850">
        <f>L58+'14'!M58:P58</f>
      </c>
      <c r="N58" s="850"/>
      <c r="O58" s="850"/>
      <c r="P58" s="851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850">
        <f>L59+'14'!M59:P59</f>
      </c>
      <c r="N59" s="850"/>
      <c r="O59" s="850"/>
      <c r="P59" s="851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850">
        <f>L60+'14'!M60:P60</f>
      </c>
      <c r="N60" s="850"/>
      <c r="O60" s="850"/>
      <c r="P60" s="851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850">
        <f>L61+'14'!M61:P61</f>
      </c>
      <c r="N61" s="850"/>
      <c r="O61" s="850"/>
      <c r="P61" s="851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850">
        <f>L62+'14'!M62:P62</f>
      </c>
      <c r="N62" s="850"/>
      <c r="O62" s="850"/>
      <c r="P62" s="851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850">
        <f>L63+'14'!M63:P63</f>
      </c>
      <c r="N63" s="850"/>
      <c r="O63" s="850"/>
      <c r="P63" s="851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262F-C3CF-4937-A278-C402C28AB9A7}">
  <sheetPr codeName="Sheet27"/>
  <sheetViews>
    <sheetView topLeftCell="A12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'15'!E3+1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'15'!O5:Q5</f>
      </c>
      <c r="P5" s="609"/>
      <c r="Q5" s="609"/>
      <c r="R5" s="263"/>
      <c r="S5" s="609">
        <f>'15'!S5:U5</f>
      </c>
      <c r="T5" s="609"/>
      <c r="U5" s="609"/>
      <c r="V5" s="263"/>
      <c r="W5" s="609">
        <f>'15'!W5:Y5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'15'!E24</f>
      </c>
      <c r="F23" s="311">
        <f>'15'!F24</f>
      </c>
      <c r="G23" s="311">
        <f>'15'!G24</f>
      </c>
      <c r="H23" s="311">
        <f>'15'!H24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'15'!E26</f>
      </c>
      <c r="F25" s="257">
        <f>'15'!F26</f>
      </c>
      <c r="G25" s="257">
        <f>'15'!G26</f>
      </c>
      <c r="H25" s="257">
        <f>'15'!H26</f>
      </c>
      <c r="I25" s="275">
        <f>'15'!I26</f>
      </c>
      <c r="J25" s="275">
        <f>'15'!J26</f>
      </c>
      <c r="K25" s="275">
        <f>'15'!K26</f>
      </c>
      <c r="L25" s="275">
        <f>'15'!L26</f>
      </c>
      <c r="M25" s="275">
        <f>'15'!M26</f>
      </c>
      <c r="N25" s="275">
        <f>'15'!N26</f>
      </c>
      <c r="O25" s="275">
        <f>'15'!O26</f>
      </c>
      <c r="P25" s="275">
        <f>'15'!P26</f>
      </c>
      <c r="Q25" s="275">
        <f>'15'!Q26</f>
      </c>
      <c r="R25" s="275">
        <f>'15'!R26</f>
      </c>
      <c r="S25" s="275">
        <f>'15'!S26</f>
      </c>
      <c r="T25" s="275">
        <f>'15'!T26</f>
      </c>
      <c r="U25" s="275">
        <f>'15'!U26</f>
      </c>
      <c r="V25" s="275">
        <f>'15'!V26</f>
      </c>
      <c r="W25" s="275">
        <f>'15'!W26</f>
      </c>
      <c r="X25" s="275">
        <f>'15'!X26</f>
      </c>
      <c r="Y25" s="275">
        <f>'15'!Y26</f>
      </c>
      <c r="Z25" s="275">
        <f>'15'!Z26</f>
      </c>
      <c r="AA25" s="275">
        <f>'15'!AA26</f>
      </c>
      <c r="AB25" s="275">
        <f>'15'!AB26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'15'!E28</f>
      </c>
      <c r="F28" s="233">
        <f>'15'!F28</f>
      </c>
      <c r="G28" s="233">
        <f>'15'!G28</f>
      </c>
      <c r="H28" s="233">
        <f>'15'!H28</f>
      </c>
      <c r="I28" s="234">
        <f>'15'!I28</f>
      </c>
      <c r="J28" s="234">
        <f>'15'!J28</f>
      </c>
      <c r="K28" s="234">
        <f>'15'!K28</f>
      </c>
      <c r="L28" s="234">
        <f>'15'!L28</f>
      </c>
      <c r="M28" s="234">
        <f>'15'!M28</f>
      </c>
      <c r="N28" s="234">
        <f>'15'!N28</f>
      </c>
      <c r="O28" s="234">
        <f>'15'!O28</f>
      </c>
      <c r="P28" s="234">
        <f>'15'!P28</f>
      </c>
      <c r="Q28" s="234">
        <f>'15'!Q28</f>
      </c>
      <c r="R28" s="234">
        <f>'15'!R28</f>
      </c>
      <c r="S28" s="234">
        <f>'15'!S28</f>
      </c>
      <c r="T28" s="234">
        <f>'15'!T28</f>
      </c>
      <c r="U28" s="234">
        <f>'15'!U28</f>
      </c>
      <c r="V28" s="234">
        <f>'15'!V28</f>
      </c>
      <c r="W28" s="234">
        <f>'15'!W28</f>
      </c>
      <c r="X28" s="234">
        <f>'15'!X28</f>
      </c>
      <c r="Y28" s="234">
        <f>'15'!Y28</f>
      </c>
      <c r="Z28" s="234">
        <f>'15'!Z28</f>
      </c>
      <c r="AA28" s="234">
        <f>'15'!AA28</f>
      </c>
      <c r="AB28" s="234">
        <f>'15'!AB28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'15'!I33</f>
      </c>
      <c r="J32" s="275">
        <f>'15'!J33</f>
      </c>
      <c r="K32" s="275">
        <f>'15'!K33</f>
      </c>
      <c r="L32" s="275">
        <f>'15'!L33</f>
      </c>
      <c r="M32" s="275">
        <f>'15'!M33</f>
      </c>
      <c r="N32" s="275">
        <f>'15'!N33</f>
      </c>
      <c r="O32" s="275">
        <f>'15'!O33</f>
      </c>
      <c r="P32" s="275">
        <f>'15'!P33</f>
      </c>
      <c r="Q32" s="275">
        <f>'15'!Q33</f>
      </c>
      <c r="R32" s="275">
        <f>'15'!R33</f>
      </c>
      <c r="S32" s="275">
        <f>'15'!S33</f>
      </c>
      <c r="T32" s="275">
        <f>'15'!T33</f>
      </c>
      <c r="U32" s="275">
        <f>'15'!U33</f>
      </c>
      <c r="V32" s="275">
        <f>'15'!V33</f>
      </c>
      <c r="W32" s="275">
        <f>'15'!W33</f>
      </c>
      <c r="X32" s="275">
        <f>'15'!X33</f>
      </c>
      <c r="Y32" s="275">
        <f>'15'!Y33</f>
      </c>
      <c r="Z32" s="275">
        <f>'15'!Z33</f>
      </c>
      <c r="AA32" s="275">
        <f>'15'!AA33</f>
      </c>
      <c r="AB32" s="275">
        <f>'15'!AB33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'15'!I35</f>
      </c>
      <c r="J35" s="292">
        <f>'15'!J35</f>
      </c>
      <c r="K35" s="292">
        <f>'15'!K35</f>
      </c>
      <c r="L35" s="292">
        <f>'15'!L35</f>
      </c>
      <c r="M35" s="292">
        <f>'15'!M35</f>
      </c>
      <c r="N35" s="292">
        <f>'15'!N35</f>
      </c>
      <c r="O35" s="292">
        <f>'15'!O35</f>
      </c>
      <c r="P35" s="292">
        <f>'15'!P35</f>
      </c>
      <c r="Q35" s="292">
        <f>'15'!Q35</f>
      </c>
      <c r="R35" s="292">
        <f>'15'!R35</f>
      </c>
      <c r="S35" s="292">
        <f>'15'!S35</f>
      </c>
      <c r="T35" s="292">
        <f>'15'!T35</f>
      </c>
      <c r="U35" s="292">
        <f>'15'!U35</f>
      </c>
      <c r="V35" s="292">
        <f>'15'!V35</f>
      </c>
      <c r="W35" s="292">
        <f>'15'!W35</f>
      </c>
      <c r="X35" s="292">
        <f>'15'!X35</f>
      </c>
      <c r="Y35" s="292">
        <f>'15'!Y35</f>
      </c>
      <c r="Z35" s="292">
        <f>'15'!Z35</f>
      </c>
      <c r="AA35" s="292">
        <f>'15'!AA35</f>
      </c>
      <c r="AB35" s="292">
        <f>'15'!AB35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'16'!F36+'15'!F37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L7+'15'!F41:G41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F16+'15'!F42:G42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F17+'15'!F43:G43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L12+'15'!F44:G44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Z30+'15'!F45:G45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Z9+'15'!F46:G46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(F45-F46)+'15'!F47:G47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F31+'15'!F48:G48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F15+'15'!F49:G49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(128.55+29.42+665.77)/7++'15'!F50:G50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Z10+'15'!F51:G51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F18+'15'!F52:G52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(F7-Z9)+'15'!F53:G53</f>
      </c>
      <c r="G53" s="385"/>
      <c r="I53" t="s" s="441">
        <v>328</v>
      </c>
      <c r="J53" s="420"/>
      <c r="K53" s="420"/>
      <c r="L53" s="238"/>
      <c r="M53" s="418">
        <f>L53+'15'!M53:P53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L54+'15'!M54:P54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L55+'15'!M55:P55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L56+'15'!M56:P56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L57+'15'!M57:P57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L58+'15'!M58:P58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L59+'15'!M59:P59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L60+'15'!M60:P60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L61+'15'!M61:P61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L62+'15'!M62:P62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L63+'15'!M63:P63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84C3-383D-49B0-815F-65107AACB9A7}">
  <sheetPr codeName="Sheet28"/>
  <sheetViews>
    <sheetView topLeftCell="A4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'16'!E3+1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'16'!O5:Q5</f>
      </c>
      <c r="P5" s="609"/>
      <c r="Q5" s="609"/>
      <c r="R5" s="263"/>
      <c r="S5" s="609">
        <f>'16'!S5:U5</f>
      </c>
      <c r="T5" s="609"/>
      <c r="U5" s="609"/>
      <c r="V5" s="263"/>
      <c r="W5" s="609">
        <f>'16'!W5:Y5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'16'!E24</f>
      </c>
      <c r="F23" s="311">
        <f>'16'!F24</f>
      </c>
      <c r="G23" s="311">
        <f>'16'!G24</f>
      </c>
      <c r="H23" s="311">
        <f>'16'!H24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'16'!E26</f>
      </c>
      <c r="F25" s="257">
        <f>'16'!F26</f>
      </c>
      <c r="G25" s="257">
        <f>'16'!G26</f>
      </c>
      <c r="H25" s="257">
        <f>'16'!H26</f>
      </c>
      <c r="I25" s="275">
        <f>'16'!I26</f>
      </c>
      <c r="J25" s="275">
        <f>'16'!J26</f>
      </c>
      <c r="K25" s="275">
        <f>'16'!K26</f>
      </c>
      <c r="L25" s="275">
        <f>'16'!L26</f>
      </c>
      <c r="M25" s="275">
        <f>'16'!M26</f>
      </c>
      <c r="N25" s="275">
        <f>'16'!N26</f>
      </c>
      <c r="O25" s="275">
        <f>'16'!O26</f>
      </c>
      <c r="P25" s="275">
        <f>'16'!P26</f>
      </c>
      <c r="Q25" s="275">
        <f>'16'!Q26</f>
      </c>
      <c r="R25" s="275">
        <f>'16'!R26</f>
      </c>
      <c r="S25" s="275">
        <f>'16'!S26</f>
      </c>
      <c r="T25" s="275">
        <f>'16'!T26</f>
      </c>
      <c r="U25" s="275">
        <f>'16'!U26</f>
      </c>
      <c r="V25" s="275">
        <f>'16'!V26</f>
      </c>
      <c r="W25" s="275">
        <f>'16'!W26</f>
      </c>
      <c r="X25" s="275">
        <f>'16'!X26</f>
      </c>
      <c r="Y25" s="275">
        <f>'16'!Y26</f>
      </c>
      <c r="Z25" s="275">
        <f>'16'!Z26</f>
      </c>
      <c r="AA25" s="275">
        <f>'16'!AA26</f>
      </c>
      <c r="AB25" s="275">
        <f>'16'!AB26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'16'!E28</f>
      </c>
      <c r="F28" s="233">
        <f>'16'!F28</f>
      </c>
      <c r="G28" s="233">
        <f>'16'!G28</f>
      </c>
      <c r="H28" s="233">
        <f>'16'!H28</f>
      </c>
      <c r="I28" s="234">
        <f>'16'!I28</f>
      </c>
      <c r="J28" s="234">
        <f>'16'!J28</f>
      </c>
      <c r="K28" s="234">
        <f>'16'!K28</f>
      </c>
      <c r="L28" s="234">
        <f>'16'!L28</f>
      </c>
      <c r="M28" s="234">
        <f>'16'!M28</f>
      </c>
      <c r="N28" s="234">
        <f>'16'!N28</f>
      </c>
      <c r="O28" s="234">
        <f>'16'!O28</f>
      </c>
      <c r="P28" s="234">
        <f>'16'!P28</f>
      </c>
      <c r="Q28" s="234">
        <f>'16'!Q28</f>
      </c>
      <c r="R28" s="234">
        <f>'16'!R28</f>
      </c>
      <c r="S28" s="234">
        <f>'16'!S28</f>
      </c>
      <c r="T28" s="234">
        <f>'16'!T28</f>
      </c>
      <c r="U28" s="234">
        <f>'16'!U28</f>
      </c>
      <c r="V28" s="234">
        <f>'16'!V28</f>
      </c>
      <c r="W28" s="234">
        <f>'16'!W28</f>
      </c>
      <c r="X28" s="234">
        <f>'16'!X28</f>
      </c>
      <c r="Y28" s="234">
        <f>'16'!Y28</f>
      </c>
      <c r="Z28" s="234">
        <f>'16'!Z28</f>
      </c>
      <c r="AA28" s="234">
        <f>'16'!AA28</f>
      </c>
      <c r="AB28" s="234">
        <f>'16'!AB28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'16'!I33</f>
      </c>
      <c r="J32" s="275">
        <f>'16'!J33</f>
      </c>
      <c r="K32" s="275">
        <f>'16'!K33</f>
      </c>
      <c r="L32" s="275">
        <f>'16'!L33</f>
      </c>
      <c r="M32" s="275">
        <f>'16'!M33</f>
      </c>
      <c r="N32" s="275">
        <f>'16'!N33</f>
      </c>
      <c r="O32" s="275">
        <f>'16'!O33</f>
      </c>
      <c r="P32" s="275">
        <f>'16'!P33</f>
      </c>
      <c r="Q32" s="275">
        <f>'16'!Q33</f>
      </c>
      <c r="R32" s="275">
        <f>'16'!R33</f>
      </c>
      <c r="S32" s="275">
        <f>'16'!S33</f>
      </c>
      <c r="T32" s="275">
        <f>'16'!T33</f>
      </c>
      <c r="U32" s="275">
        <f>'16'!U33</f>
      </c>
      <c r="V32" s="275">
        <f>'16'!V33</f>
      </c>
      <c r="W32" s="275">
        <f>'16'!W33</f>
      </c>
      <c r="X32" s="275">
        <f>'16'!X33</f>
      </c>
      <c r="Y32" s="275">
        <f>'16'!Y33</f>
      </c>
      <c r="Z32" s="275">
        <f>'16'!Z33</f>
      </c>
      <c r="AA32" s="275">
        <f>'16'!AA33</f>
      </c>
      <c r="AB32" s="275">
        <f>'16'!AB33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'16'!I35</f>
      </c>
      <c r="J35" s="292">
        <f>'16'!J35</f>
      </c>
      <c r="K35" s="292">
        <f>'16'!K35</f>
      </c>
      <c r="L35" s="292">
        <f>'16'!L35</f>
      </c>
      <c r="M35" s="292">
        <f>'16'!M35</f>
      </c>
      <c r="N35" s="292">
        <f>'16'!N35</f>
      </c>
      <c r="O35" s="292">
        <f>'16'!O35</f>
      </c>
      <c r="P35" s="292">
        <f>'16'!P35</f>
      </c>
      <c r="Q35" s="292">
        <f>'16'!Q35</f>
      </c>
      <c r="R35" s="292">
        <f>'16'!R35</f>
      </c>
      <c r="S35" s="292">
        <f>'16'!S35</f>
      </c>
      <c r="T35" s="292">
        <f>'16'!T35</f>
      </c>
      <c r="U35" s="292">
        <f>'16'!U35</f>
      </c>
      <c r="V35" s="292">
        <f>'16'!V35</f>
      </c>
      <c r="W35" s="292">
        <f>'16'!W35</f>
      </c>
      <c r="X35" s="292">
        <f>'16'!X35</f>
      </c>
      <c r="Y35" s="292">
        <f>'16'!Y35</f>
      </c>
      <c r="Z35" s="292">
        <f>'16'!Z35</f>
      </c>
      <c r="AA35" s="292">
        <f>'16'!AA35</f>
      </c>
      <c r="AB35" s="292">
        <f>'16'!AB35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F36+'16'!F37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L7+'16'!F41:G41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F16+'16'!F42:G42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F17+'16'!F43:G43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L12+'16'!F44:G44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Z30+'16'!F45:G45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Z9+'16'!F46:G46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(F45-F46)+'16'!F47:G47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F31+'16'!F48:G48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F15+'16'!F49:G49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(128.55+29.42+665.77)/7++'16'!F50:G50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Z10+'16'!F51:G51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F18+'16'!F52:G52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(F7-Z9)+'16'!F53:G53</f>
      </c>
      <c r="G53" s="385"/>
      <c r="I53" t="s" s="441">
        <v>328</v>
      </c>
      <c r="J53" s="420"/>
      <c r="K53" s="420"/>
      <c r="L53" s="238"/>
      <c r="M53" s="418">
        <f>L53+'16'!M53:P53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L54+'16'!M54:P54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5" customHeight="1" x14ac:dyDescent="0.35">
      <c r="I55" t="s" s="442">
        <v>285</v>
      </c>
      <c r="J55" s="443"/>
      <c r="K55" s="443"/>
      <c r="L55" s="238"/>
      <c r="M55" s="418">
        <f>L55+'16'!M55:P55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L56+'16'!M56:P56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L57+'16'!M57:P57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L58+'16'!M58:P58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L59+'16'!M59:P59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L60+'16'!M60:P60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L61+'16'!M61:P61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L62+'16'!M62:P62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L63+'16'!M63:P63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E033-B037-44A2-A91E-54595AFFB9A7}">
  <sheetPr codeName="Sheet29"/>
  <sheetViews>
    <sheetView topLeftCell="A11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'17'!E3+1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'17'!O5:Q5</f>
      </c>
      <c r="P5" s="609"/>
      <c r="Q5" s="609"/>
      <c r="R5" s="263"/>
      <c r="S5" s="609">
        <f>'17'!S5:U5</f>
      </c>
      <c r="T5" s="609"/>
      <c r="U5" s="609"/>
      <c r="V5" s="263"/>
      <c r="W5" s="609">
        <f>'17'!W5:Y5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'17'!E24</f>
      </c>
      <c r="F23" s="311">
        <f>'17'!F24</f>
      </c>
      <c r="G23" s="311">
        <f>'17'!G24</f>
      </c>
      <c r="H23" s="311">
        <f>'17'!H24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'17'!E26</f>
      </c>
      <c r="F25" s="257">
        <f>'17'!F26</f>
      </c>
      <c r="G25" s="257">
        <f>'17'!G26</f>
      </c>
      <c r="H25" s="257">
        <f>'17'!H26</f>
      </c>
      <c r="I25" s="275">
        <f>'17'!I26</f>
      </c>
      <c r="J25" s="275">
        <f>'17'!J26</f>
      </c>
      <c r="K25" s="275">
        <f>'17'!K26</f>
      </c>
      <c r="L25" s="275">
        <f>'17'!L26</f>
      </c>
      <c r="M25" s="275">
        <f>'17'!M26</f>
      </c>
      <c r="N25" s="275">
        <f>'17'!N26</f>
      </c>
      <c r="O25" s="275">
        <f>'17'!O26</f>
      </c>
      <c r="P25" s="275">
        <f>'17'!P26</f>
      </c>
      <c r="Q25" s="275">
        <f>'17'!Q26</f>
      </c>
      <c r="R25" s="275">
        <f>'17'!R26</f>
      </c>
      <c r="S25" s="275">
        <f>'17'!S26</f>
      </c>
      <c r="T25" s="275">
        <f>'17'!T26</f>
      </c>
      <c r="U25" s="275">
        <f>'17'!U26</f>
      </c>
      <c r="V25" s="275">
        <f>'17'!V26</f>
      </c>
      <c r="W25" s="275">
        <f>'17'!W26</f>
      </c>
      <c r="X25" s="275">
        <f>'17'!X26</f>
      </c>
      <c r="Y25" s="275">
        <f>'17'!Y26</f>
      </c>
      <c r="Z25" s="275">
        <f>'17'!Z26</f>
      </c>
      <c r="AA25" s="275">
        <f>'17'!AA26</f>
      </c>
      <c r="AB25" s="275">
        <f>'17'!AB26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'17'!E28</f>
      </c>
      <c r="F28" s="233">
        <f>'17'!F28</f>
      </c>
      <c r="G28" s="233">
        <f>'17'!G28</f>
      </c>
      <c r="H28" s="233">
        <f>'17'!H28</f>
      </c>
      <c r="I28" s="234">
        <f>'17'!I28</f>
      </c>
      <c r="J28" s="234">
        <f>'17'!J28</f>
      </c>
      <c r="K28" s="234">
        <f>'17'!K28</f>
      </c>
      <c r="L28" s="234">
        <f>'17'!L28</f>
      </c>
      <c r="M28" s="234">
        <f>'17'!M28</f>
      </c>
      <c r="N28" s="234">
        <f>'17'!N28</f>
      </c>
      <c r="O28" s="234">
        <f>'17'!O28</f>
      </c>
      <c r="P28" s="234">
        <f>'17'!P28</f>
      </c>
      <c r="Q28" s="234">
        <f>'17'!Q28</f>
      </c>
      <c r="R28" s="234">
        <f>'17'!R28</f>
      </c>
      <c r="S28" s="234">
        <f>'17'!S28</f>
      </c>
      <c r="T28" s="234">
        <f>'17'!T28</f>
      </c>
      <c r="U28" s="234">
        <f>'17'!U28</f>
      </c>
      <c r="V28" s="234">
        <f>'17'!V28</f>
      </c>
      <c r="W28" s="234">
        <f>'17'!W28</f>
      </c>
      <c r="X28" s="234">
        <f>'17'!X28</f>
      </c>
      <c r="Y28" s="234">
        <f>'17'!Y28</f>
      </c>
      <c r="Z28" s="234">
        <f>'17'!Z28</f>
      </c>
      <c r="AA28" s="234">
        <f>'17'!AA28</f>
      </c>
      <c r="AB28" s="234">
        <f>'17'!AB28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'17'!I33</f>
      </c>
      <c r="J32" s="275">
        <f>'17'!J33</f>
      </c>
      <c r="K32" s="275">
        <f>'17'!K33</f>
      </c>
      <c r="L32" s="275">
        <f>'17'!L33</f>
      </c>
      <c r="M32" s="275">
        <f>'17'!M33</f>
      </c>
      <c r="N32" s="275">
        <f>'17'!N33</f>
      </c>
      <c r="O32" s="275">
        <f>'17'!O33</f>
      </c>
      <c r="P32" s="275">
        <f>'17'!P33</f>
      </c>
      <c r="Q32" s="275">
        <f>'17'!Q33</f>
      </c>
      <c r="R32" s="275">
        <f>'17'!R33</f>
      </c>
      <c r="S32" s="275">
        <f>'17'!S33</f>
      </c>
      <c r="T32" s="275">
        <f>'17'!T33</f>
      </c>
      <c r="U32" s="275">
        <f>'17'!U33</f>
      </c>
      <c r="V32" s="275">
        <f>'17'!V33</f>
      </c>
      <c r="W32" s="275">
        <f>'17'!W33</f>
      </c>
      <c r="X32" s="275">
        <f>'17'!X33</f>
      </c>
      <c r="Y32" s="275">
        <f>'17'!Y33</f>
      </c>
      <c r="Z32" s="275">
        <f>'17'!Z33</f>
      </c>
      <c r="AA32" s="275">
        <f>'17'!AA33</f>
      </c>
      <c r="AB32" s="275">
        <f>'17'!AB33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'17'!I35</f>
      </c>
      <c r="J35" s="292">
        <f>'17'!J35</f>
      </c>
      <c r="K35" s="292">
        <f>'17'!K35</f>
      </c>
      <c r="L35" s="292">
        <f>'17'!L35</f>
      </c>
      <c r="M35" s="292">
        <f>'17'!M35</f>
      </c>
      <c r="N35" s="292">
        <f>'17'!N35</f>
      </c>
      <c r="O35" s="292">
        <f>'17'!O35</f>
      </c>
      <c r="P35" s="292">
        <f>'17'!P35</f>
      </c>
      <c r="Q35" s="292">
        <f>'17'!Q35</f>
      </c>
      <c r="R35" s="292">
        <f>'17'!R35</f>
      </c>
      <c r="S35" s="292">
        <f>'17'!S35</f>
      </c>
      <c r="T35" s="292">
        <f>'17'!T35</f>
      </c>
      <c r="U35" s="292">
        <f>'17'!U35</f>
      </c>
      <c r="V35" s="292">
        <f>'17'!V35</f>
      </c>
      <c r="W35" s="292">
        <f>'17'!W35</f>
      </c>
      <c r="X35" s="292">
        <f>'17'!X35</f>
      </c>
      <c r="Y35" s="292">
        <f>'17'!Y35</f>
      </c>
      <c r="Z35" s="292">
        <f>'17'!Z35</f>
      </c>
      <c r="AA35" s="292">
        <f>'17'!AA35</f>
      </c>
      <c r="AB35" s="292">
        <f>'17'!AB35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F36+'17'!F37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L7+'17'!F41:G41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F16+'17'!F42:G42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F17+'17'!F43:G43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L12+'17'!F44:G44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Z30+'17'!F45:G45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Z9+'17'!F46:G46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(F45-F46)+'17'!F47:G47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F31+'17'!F48:G48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F15+'17'!F49:G49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(128.55+29.42+665.77)/7++'17'!F50:G50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Z10+'17'!F51:G51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F18+'17'!F52:G52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(F7-Z9)+'17'!F53:G53</f>
      </c>
      <c r="G53" s="385"/>
      <c r="I53" t="s" s="441">
        <v>328</v>
      </c>
      <c r="J53" s="420"/>
      <c r="K53" s="420"/>
      <c r="L53" s="238"/>
      <c r="M53" s="418">
        <f>L53+'17'!M53:P53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L54+'17'!M54:P54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L55+'17'!M55:P55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L56+'17'!M56:P56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L57+'17'!M57:P57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L58+'17'!M58:P58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L59+'17'!M59:P59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L60+'17'!M60:P60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L61+'17'!M61:P61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L62+'17'!M62:P62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L63+'17'!M63:P63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M61:P61"/>
    <mergeCell ref="I60:K60"/>
    <mergeCell ref="M60:P60"/>
    <mergeCell ref="I61:K61"/>
    <mergeCell ref="L7:R7"/>
    <mergeCell ref="S7:U7"/>
    <mergeCell ref="V7:Y7"/>
    <mergeCell ref="Z7:AB7"/>
    <mergeCell ref="C3:D3"/>
    <mergeCell ref="L5:N5"/>
    <mergeCell ref="O5:Q5"/>
    <mergeCell ref="T10:Y10"/>
    <mergeCell ref="Z10:AB10"/>
    <mergeCell ref="Z5:AB5"/>
    <mergeCell ref="D9:E9"/>
    <mergeCell ref="H9:K9"/>
    <mergeCell ref="L9:R9"/>
    <mergeCell ref="T9:Y9"/>
    <mergeCell ref="Z9:AB9"/>
    <mergeCell ref="C10:D10"/>
    <mergeCell ref="H10:K10"/>
    <mergeCell ref="L10:R10"/>
    <mergeCell ref="D11:E11"/>
    <mergeCell ref="H11:K11"/>
    <mergeCell ref="L11:R11"/>
    <mergeCell ref="T11:Y11"/>
    <mergeCell ref="Z11:AB11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S5:U5"/>
    <mergeCell ref="W5:Y5"/>
    <mergeCell ref="I22:AB2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C22:D22"/>
    <mergeCell ref="C23:D23"/>
    <mergeCell ref="C20:D21"/>
    <mergeCell ref="E20:G21"/>
    <mergeCell ref="H20:H21"/>
    <mergeCell ref="I20:O21"/>
    <mergeCell ref="P20:R21"/>
    <mergeCell ref="V30:Y30"/>
    <mergeCell ref="Z30:AB30"/>
    <mergeCell ref="C34:E34"/>
    <mergeCell ref="C32:E32"/>
    <mergeCell ref="C35:E35"/>
    <mergeCell ref="C30:E30"/>
    <mergeCell ref="C31:E31"/>
    <mergeCell ref="F30:H30"/>
    <mergeCell ref="I30:L30"/>
    <mergeCell ref="M30:N30"/>
    <mergeCell ref="O30:S30"/>
    <mergeCell ref="T30:U30"/>
    <mergeCell ref="C51:E51"/>
    <mergeCell ref="F43:G43"/>
    <mergeCell ref="I43:J43"/>
    <mergeCell ref="M43:N43"/>
    <mergeCell ref="T40:Y40"/>
    <mergeCell ref="Z40:AB40"/>
    <mergeCell ref="T41:Y41"/>
    <mergeCell ref="Z41:AB4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U49:Y49"/>
    <mergeCell ref="Z49:AB49"/>
    <mergeCell ref="Z48:AB48"/>
    <mergeCell ref="T46:Y46"/>
    <mergeCell ref="Z46:AB46"/>
    <mergeCell ref="T47:Y47"/>
    <mergeCell ref="Z47:AB47"/>
    <mergeCell ref="C50:E50"/>
    <mergeCell ref="F50:G50"/>
    <mergeCell ref="T42:Y42"/>
    <mergeCell ref="Z42:AB42"/>
    <mergeCell ref="T43:Y43"/>
    <mergeCell ref="Z43:AB43"/>
    <mergeCell ref="T44:Y44"/>
    <mergeCell ref="Z44:AB44"/>
    <mergeCell ref="T45:Y45"/>
    <mergeCell ref="Z45:AB45"/>
    <mergeCell ref="T48:Y48"/>
    <mergeCell ref="O43:Q43"/>
    <mergeCell ref="F44:G44"/>
    <mergeCell ref="M44:N44"/>
    <mergeCell ref="O44:Q44"/>
    <mergeCell ref="F45:G45"/>
    <mergeCell ref="F46:G46"/>
    <mergeCell ref="F47:G47"/>
    <mergeCell ref="F48:G48"/>
    <mergeCell ref="F49:G49"/>
    <mergeCell ref="N46:Q46"/>
    <mergeCell ref="N47:O47"/>
    <mergeCell ref="P47:Q47"/>
    <mergeCell ref="N48:O48"/>
    <mergeCell ref="S20:Y21"/>
    <mergeCell ref="Z20:AB21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Z15:AB15"/>
    <mergeCell ref="C12:D12"/>
    <mergeCell ref="I12:K12"/>
    <mergeCell ref="C14:D14"/>
    <mergeCell ref="L12:R13"/>
    <mergeCell ref="T12:Y12"/>
    <mergeCell ref="Z12:AB12"/>
    <mergeCell ref="D13:E13"/>
    <mergeCell ref="I13:K13"/>
    <mergeCell ref="T13:Y13"/>
    <mergeCell ref="Z13:AB13"/>
    <mergeCell ref="C24:D24"/>
    <mergeCell ref="C36:E36"/>
    <mergeCell ref="K37:P37"/>
    <mergeCell ref="Q37:R37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25:D25"/>
    <mergeCell ref="C26:D26"/>
    <mergeCell ref="C27:D27"/>
    <mergeCell ref="C37:E37"/>
    <mergeCell ref="P48:Q48"/>
    <mergeCell ref="N49:O49"/>
    <mergeCell ref="P49:Q49"/>
    <mergeCell ref="S39:AB39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</mergeCells>
  <printOptions horizontalCentered="1"/>
  <pageMargins left="0.25" right="0.2" top="0.25" bottom="0.25" header="0.3" footer="0.3"/>
  <pageSetup scale="7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CA1D-3E46-47D7-9383-0D63FEC7B9A7}">
  <sheetPr codeName="Sheet30"/>
  <sheetViews>
    <sheetView topLeftCell="A12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'18'!E3+1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'18'!O5:Q5</f>
      </c>
      <c r="P5" s="609"/>
      <c r="Q5" s="609"/>
      <c r="R5" s="263"/>
      <c r="S5" s="609">
        <f>'18'!S5:U5</f>
      </c>
      <c r="T5" s="609"/>
      <c r="U5" s="609"/>
      <c r="V5" s="263"/>
      <c r="W5" s="609">
        <f>'18'!W5:Y5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'18'!E24</f>
      </c>
      <c r="F23" s="311">
        <f>'18'!F24</f>
      </c>
      <c r="G23" s="311">
        <f>'18'!G24</f>
      </c>
      <c r="H23" s="311">
        <f>'18'!H24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'18'!E26</f>
      </c>
      <c r="F25" s="257">
        <f>'18'!F26</f>
      </c>
      <c r="G25" s="257">
        <f>'18'!G26</f>
      </c>
      <c r="H25" s="257">
        <f>'18'!H26</f>
      </c>
      <c r="I25" s="275">
        <f>'18'!I26</f>
      </c>
      <c r="J25" s="275">
        <f>'18'!J26</f>
      </c>
      <c r="K25" s="275">
        <f>'18'!K26</f>
      </c>
      <c r="L25" s="275">
        <f>'18'!L26</f>
      </c>
      <c r="M25" s="275">
        <f>'18'!M26</f>
      </c>
      <c r="N25" s="275">
        <f>'18'!N26</f>
      </c>
      <c r="O25" s="275">
        <f>'18'!O26</f>
      </c>
      <c r="P25" s="275">
        <f>'18'!P26</f>
      </c>
      <c r="Q25" s="275">
        <f>'18'!Q26</f>
      </c>
      <c r="R25" s="275">
        <f>'18'!R26</f>
      </c>
      <c r="S25" s="275">
        <f>'18'!S26</f>
      </c>
      <c r="T25" s="275">
        <f>'18'!T26</f>
      </c>
      <c r="U25" s="275">
        <f>'18'!U26</f>
      </c>
      <c r="V25" s="275">
        <f>'18'!V26</f>
      </c>
      <c r="W25" s="275">
        <f>'18'!W26</f>
      </c>
      <c r="X25" s="275">
        <f>'18'!X26</f>
      </c>
      <c r="Y25" s="275">
        <f>'18'!Y26</f>
      </c>
      <c r="Z25" s="275">
        <f>'18'!Z26</f>
      </c>
      <c r="AA25" s="275">
        <f>'18'!AA26</f>
      </c>
      <c r="AB25" s="275">
        <f>'18'!AB26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'18'!E28</f>
      </c>
      <c r="F28" s="233">
        <f>'18'!F28</f>
      </c>
      <c r="G28" s="233">
        <f>'18'!G28</f>
      </c>
      <c r="H28" s="233">
        <f>'18'!H28</f>
      </c>
      <c r="I28" s="234">
        <f>'18'!I28</f>
      </c>
      <c r="J28" s="234">
        <f>'18'!J28</f>
      </c>
      <c r="K28" s="234">
        <f>'18'!K28</f>
      </c>
      <c r="L28" s="234">
        <f>'18'!L28</f>
      </c>
      <c r="M28" s="234">
        <f>'18'!M28</f>
      </c>
      <c r="N28" s="234">
        <f>'18'!N28</f>
      </c>
      <c r="O28" s="234">
        <f>'18'!O28</f>
      </c>
      <c r="P28" s="234">
        <f>'18'!P28</f>
      </c>
      <c r="Q28" s="234">
        <f>'18'!Q28</f>
      </c>
      <c r="R28" s="234">
        <f>'18'!R28</f>
      </c>
      <c r="S28" s="234">
        <f>'18'!S28</f>
      </c>
      <c r="T28" s="234">
        <f>'18'!T28</f>
      </c>
      <c r="U28" s="234">
        <f>'18'!U28</f>
      </c>
      <c r="V28" s="234">
        <f>'18'!V28</f>
      </c>
      <c r="W28" s="234">
        <f>'18'!W28</f>
      </c>
      <c r="X28" s="234">
        <f>'18'!X28</f>
      </c>
      <c r="Y28" s="234">
        <f>'18'!Y28</f>
      </c>
      <c r="Z28" s="234">
        <f>'18'!Z28</f>
      </c>
      <c r="AA28" s="234">
        <f>'18'!AA28</f>
      </c>
      <c r="AB28" s="234">
        <f>'18'!AB28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'18'!I33</f>
      </c>
      <c r="J32" s="275">
        <f>'18'!J33</f>
      </c>
      <c r="K32" s="275">
        <f>'18'!K33</f>
      </c>
      <c r="L32" s="275">
        <f>'18'!L33</f>
      </c>
      <c r="M32" s="275">
        <f>'18'!M33</f>
      </c>
      <c r="N32" s="275">
        <f>'18'!N33</f>
      </c>
      <c r="O32" s="275">
        <f>'18'!O33</f>
      </c>
      <c r="P32" s="275">
        <f>'18'!P33</f>
      </c>
      <c r="Q32" s="275">
        <f>'18'!Q33</f>
      </c>
      <c r="R32" s="275">
        <f>'18'!R33</f>
      </c>
      <c r="S32" s="275">
        <f>'18'!S33</f>
      </c>
      <c r="T32" s="275">
        <f>'18'!T33</f>
      </c>
      <c r="U32" s="275">
        <f>'18'!U33</f>
      </c>
      <c r="V32" s="275">
        <f>'18'!V33</f>
      </c>
      <c r="W32" s="275">
        <f>'18'!W33</f>
      </c>
      <c r="X32" s="275">
        <f>'18'!X33</f>
      </c>
      <c r="Y32" s="275">
        <f>'18'!Y33</f>
      </c>
      <c r="Z32" s="275">
        <f>'18'!Z33</f>
      </c>
      <c r="AA32" s="275">
        <f>'18'!AA33</f>
      </c>
      <c r="AB32" s="275">
        <f>'18'!AB33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'18'!I35</f>
      </c>
      <c r="J35" s="292">
        <f>'18'!J35</f>
      </c>
      <c r="K35" s="292">
        <f>'18'!K35</f>
      </c>
      <c r="L35" s="292">
        <f>'18'!L35</f>
      </c>
      <c r="M35" s="292">
        <f>'18'!M35</f>
      </c>
      <c r="N35" s="292">
        <f>'18'!N35</f>
      </c>
      <c r="O35" s="292">
        <f>'18'!O35</f>
      </c>
      <c r="P35" s="292">
        <f>'18'!P35</f>
      </c>
      <c r="Q35" s="292">
        <f>'18'!Q35</f>
      </c>
      <c r="R35" s="292">
        <f>'18'!R35</f>
      </c>
      <c r="S35" s="292">
        <f>'18'!S35</f>
      </c>
      <c r="T35" s="292">
        <f>'18'!T35</f>
      </c>
      <c r="U35" s="292">
        <f>'18'!U35</f>
      </c>
      <c r="V35" s="292">
        <f>'18'!V35</f>
      </c>
      <c r="W35" s="292">
        <f>'18'!W35</f>
      </c>
      <c r="X35" s="292">
        <f>'18'!X35</f>
      </c>
      <c r="Y35" s="292">
        <f>'18'!Y35</f>
      </c>
      <c r="Z35" s="292">
        <f>'18'!Z35</f>
      </c>
      <c r="AA35" s="292">
        <f>'18'!AA35</f>
      </c>
      <c r="AB35" s="292">
        <f>'18'!AB35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F36+'18'!F37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L7+'18'!F41:G41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F16+'18'!F42:G42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F17+'18'!F43:G43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L12+'18'!F44:G44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Z30+'18'!F45:G45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Z9+'18'!F46:G46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(F45-F46)+'18'!F47:G47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F31+'18'!F48:G48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F15+'18'!F49:G49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(128.55+29.42+665.77)/7++'18'!F50:G50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Z10+'18'!F51:G51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F18+'18'!F52:G52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(F7-Z9)+'18'!F53:G53</f>
      </c>
      <c r="G53" s="385"/>
      <c r="I53" t="s" s="441">
        <v>328</v>
      </c>
      <c r="J53" s="420"/>
      <c r="K53" s="420"/>
      <c r="L53" s="238"/>
      <c r="M53" s="418">
        <f>L53+'18'!M53:P53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L54+'18'!M54:P54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L55+'18'!M55:P55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L56+'18'!M56:P56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L57+'18'!M57:P57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L58+'18'!M58:P58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L59+'18'!M59:P59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L60+'18'!M60:P60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L61+'18'!M61:P61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L62+'18'!M62:P62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L63+'18'!M63:P63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D919-D314-4C29-81F3-B077022DB9A7}">
  <sheetPr codeName="Sheet31"/>
  <sheetViews>
    <sheetView topLeftCell="A13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'19'!E3+1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'19'!O5:Q5</f>
      </c>
      <c r="P5" s="609"/>
      <c r="Q5" s="609"/>
      <c r="R5" s="263"/>
      <c r="S5" s="609">
        <f>'19'!S5:U5</f>
      </c>
      <c r="T5" s="609"/>
      <c r="U5" s="609"/>
      <c r="V5" s="263"/>
      <c r="W5" s="609">
        <f>'19'!W5:Y5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'19'!E24</f>
      </c>
      <c r="F23" s="311">
        <f>'19'!F24</f>
      </c>
      <c r="G23" s="311">
        <f>'19'!G24</f>
      </c>
      <c r="H23" s="311">
        <f>'19'!H24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'19'!E26</f>
      </c>
      <c r="F25" s="257">
        <f>'19'!F26</f>
      </c>
      <c r="G25" s="257">
        <f>'19'!G26</f>
      </c>
      <c r="H25" s="257">
        <f>'19'!H26</f>
      </c>
      <c r="I25" s="275">
        <f>'19'!I26</f>
      </c>
      <c r="J25" s="275">
        <f>'19'!J26</f>
      </c>
      <c r="K25" s="275">
        <f>'19'!K26</f>
      </c>
      <c r="L25" s="275">
        <f>'19'!L26</f>
      </c>
      <c r="M25" s="275">
        <f>'19'!M26</f>
      </c>
      <c r="N25" s="275">
        <f>'19'!N26</f>
      </c>
      <c r="O25" s="275">
        <f>'19'!O26</f>
      </c>
      <c r="P25" s="275">
        <f>'19'!P26</f>
      </c>
      <c r="Q25" s="275">
        <f>'19'!Q26</f>
      </c>
      <c r="R25" s="275">
        <f>'19'!R26</f>
      </c>
      <c r="S25" s="275">
        <f>'19'!S26</f>
      </c>
      <c r="T25" s="275">
        <f>'19'!T26</f>
      </c>
      <c r="U25" s="275">
        <f>'19'!U26</f>
      </c>
      <c r="V25" s="275">
        <f>'19'!V26</f>
      </c>
      <c r="W25" s="275">
        <f>'19'!W26</f>
      </c>
      <c r="X25" s="275">
        <f>'19'!X26</f>
      </c>
      <c r="Y25" s="275">
        <f>'19'!Y26</f>
      </c>
      <c r="Z25" s="275">
        <f>'19'!Z26</f>
      </c>
      <c r="AA25" s="275">
        <f>'19'!AA26</f>
      </c>
      <c r="AB25" s="275">
        <f>'19'!AB26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'19'!E28</f>
      </c>
      <c r="F28" s="233">
        <f>'19'!F28</f>
      </c>
      <c r="G28" s="233">
        <f>'19'!G28</f>
      </c>
      <c r="H28" s="233">
        <f>'19'!H28</f>
      </c>
      <c r="I28" s="234">
        <f>'19'!I28</f>
      </c>
      <c r="J28" s="234">
        <f>'19'!J28</f>
      </c>
      <c r="K28" s="234">
        <f>'19'!K28</f>
      </c>
      <c r="L28" s="234">
        <f>'19'!L28</f>
      </c>
      <c r="M28" s="234">
        <f>'19'!M28</f>
      </c>
      <c r="N28" s="234">
        <f>'19'!N28</f>
      </c>
      <c r="O28" s="234">
        <f>'19'!O28</f>
      </c>
      <c r="P28" s="234">
        <f>'19'!P28</f>
      </c>
      <c r="Q28" s="234">
        <f>'19'!Q28</f>
      </c>
      <c r="R28" s="234">
        <f>'19'!R28</f>
      </c>
      <c r="S28" s="234">
        <f>'19'!S28</f>
      </c>
      <c r="T28" s="234">
        <f>'19'!T28</f>
      </c>
      <c r="U28" s="234">
        <f>'19'!U28</f>
      </c>
      <c r="V28" s="234">
        <f>'19'!V28</f>
      </c>
      <c r="W28" s="234">
        <f>'19'!W28</f>
      </c>
      <c r="X28" s="234">
        <f>'19'!X28</f>
      </c>
      <c r="Y28" s="234">
        <f>'19'!Y28</f>
      </c>
      <c r="Z28" s="234">
        <f>'19'!Z28</f>
      </c>
      <c r="AA28" s="234">
        <f>'19'!AA28</f>
      </c>
      <c r="AB28" s="234">
        <f>'19'!AB28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'19'!I33</f>
      </c>
      <c r="J32" s="275">
        <f>'19'!J33</f>
      </c>
      <c r="K32" s="275">
        <f>'19'!K33</f>
      </c>
      <c r="L32" s="275">
        <f>'19'!L33</f>
      </c>
      <c r="M32" s="275">
        <f>'19'!M33</f>
      </c>
      <c r="N32" s="275">
        <f>'19'!N33</f>
      </c>
      <c r="O32" s="275">
        <f>'19'!O33</f>
      </c>
      <c r="P32" s="275">
        <f>'19'!P33</f>
      </c>
      <c r="Q32" s="275">
        <f>'19'!Q33</f>
      </c>
      <c r="R32" s="275">
        <f>'19'!R33</f>
      </c>
      <c r="S32" s="275">
        <f>'19'!S33</f>
      </c>
      <c r="T32" s="275">
        <f>'19'!T33</f>
      </c>
      <c r="U32" s="275">
        <f>'19'!U33</f>
      </c>
      <c r="V32" s="275">
        <f>'19'!V33</f>
      </c>
      <c r="W32" s="275">
        <f>'19'!W33</f>
      </c>
      <c r="X32" s="275">
        <f>'19'!X33</f>
      </c>
      <c r="Y32" s="275">
        <f>'19'!Y33</f>
      </c>
      <c r="Z32" s="275">
        <f>'19'!Z33</f>
      </c>
      <c r="AA32" s="275">
        <f>'19'!AA33</f>
      </c>
      <c r="AB32" s="275">
        <f>'19'!AB33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'19'!I35</f>
      </c>
      <c r="J35" s="292">
        <f>'19'!J35</f>
      </c>
      <c r="K35" s="292">
        <f>'19'!K35</f>
      </c>
      <c r="L35" s="292">
        <f>'19'!L35</f>
      </c>
      <c r="M35" s="292">
        <f>'19'!M35</f>
      </c>
      <c r="N35" s="292">
        <f>'19'!N35</f>
      </c>
      <c r="O35" s="292">
        <f>'19'!O35</f>
      </c>
      <c r="P35" s="292">
        <f>'19'!P35</f>
      </c>
      <c r="Q35" s="292">
        <f>'19'!Q35</f>
      </c>
      <c r="R35" s="292">
        <f>'19'!R35</f>
      </c>
      <c r="S35" s="292">
        <f>'19'!S35</f>
      </c>
      <c r="T35" s="292">
        <f>'19'!T35</f>
      </c>
      <c r="U35" s="292">
        <f>'19'!U35</f>
      </c>
      <c r="V35" s="292">
        <f>'19'!V35</f>
      </c>
      <c r="W35" s="292">
        <f>'19'!W35</f>
      </c>
      <c r="X35" s="292">
        <f>'19'!X35</f>
      </c>
      <c r="Y35" s="292">
        <f>'19'!Y35</f>
      </c>
      <c r="Z35" s="292">
        <f>'19'!Z35</f>
      </c>
      <c r="AA35" s="292">
        <f>'19'!AA35</f>
      </c>
      <c r="AB35" s="292">
        <f>'19'!AB35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F36+'19'!F37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L7+'19'!F41:G41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F16+'19'!F42:G42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F17+'19'!F43:G43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L12+'19'!F44:G44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Z30+'19'!F45:G45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Z9+'19'!F46:G46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(F45-F46)+'19'!F47:G47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F31+'19'!F48:G48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F15+'19'!F49:G49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(128.55+29.42+665.77)/7++'19'!F50:G50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Z10+'19'!F51:G51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F18+'19'!F52:G52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(F7-Z9)+'19'!F53:G53</f>
      </c>
      <c r="G53" s="385"/>
      <c r="I53" t="s" s="441">
        <v>331</v>
      </c>
      <c r="J53" s="420"/>
      <c r="K53" s="420"/>
      <c r="L53" s="238"/>
      <c r="M53" s="418">
        <f>L53+'19'!M53:P53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L54+'19'!M54:P54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L55+'19'!M55:P55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L56+'19'!M56:P56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L57+'19'!M57:P57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L58+'19'!M58:P58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L59+'19'!M59:P59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L60+'19'!M60:P60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L61+'19'!M61:P61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L62+'19'!M62:P62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L63+'19'!M63:P63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795B-ACDB-406C-9A87-E94532B0B9A7}">
  <sheetPr codeName="Sheet32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'20'!E3+1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'20'!O5:Q5</f>
      </c>
      <c r="P5" s="609"/>
      <c r="Q5" s="609"/>
      <c r="R5" s="263"/>
      <c r="S5" s="609">
        <f>'20'!S5:U5</f>
      </c>
      <c r="T5" s="609"/>
      <c r="U5" s="609"/>
      <c r="V5" s="263"/>
      <c r="W5" s="609">
        <f>'20'!W5:Y5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'20'!E24</f>
      </c>
      <c r="F23" s="311">
        <f>'20'!F24</f>
      </c>
      <c r="G23" s="311">
        <f>'20'!G24</f>
      </c>
      <c r="H23" s="311">
        <f>'20'!H24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'20'!E26</f>
      </c>
      <c r="F25" s="257">
        <f>'20'!F26</f>
      </c>
      <c r="G25" s="257">
        <f>'20'!G26</f>
      </c>
      <c r="H25" s="257">
        <f>'20'!H26</f>
      </c>
      <c r="I25" s="275">
        <f>'20'!I26</f>
      </c>
      <c r="J25" s="275">
        <f>'20'!J26</f>
      </c>
      <c r="K25" s="275">
        <f>'20'!K26</f>
      </c>
      <c r="L25" s="275">
        <f>'20'!L26</f>
      </c>
      <c r="M25" s="275">
        <f>'20'!M26</f>
      </c>
      <c r="N25" s="275">
        <f>'20'!N26</f>
      </c>
      <c r="O25" s="275">
        <f>'20'!O26</f>
      </c>
      <c r="P25" s="275">
        <f>'20'!P26</f>
      </c>
      <c r="Q25" s="275">
        <f>'20'!Q26</f>
      </c>
      <c r="R25" s="275">
        <f>'20'!R26</f>
      </c>
      <c r="S25" s="275">
        <f>'20'!S26</f>
      </c>
      <c r="T25" s="275">
        <f>'20'!T26</f>
      </c>
      <c r="U25" s="275">
        <f>'20'!U26</f>
      </c>
      <c r="V25" s="275">
        <f>'20'!V26</f>
      </c>
      <c r="W25" s="275">
        <f>'20'!W26</f>
      </c>
      <c r="X25" s="275">
        <f>'20'!X26</f>
      </c>
      <c r="Y25" s="275">
        <f>'20'!Y26</f>
      </c>
      <c r="Z25" s="275">
        <f>'20'!Z26</f>
      </c>
      <c r="AA25" s="275">
        <f>'20'!AA26</f>
      </c>
      <c r="AB25" s="275">
        <f>'20'!AB26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'20'!E28</f>
      </c>
      <c r="F28" s="233">
        <f>'20'!F28</f>
      </c>
      <c r="G28" s="233">
        <f>'20'!G28</f>
      </c>
      <c r="H28" s="233">
        <f>'20'!H28</f>
      </c>
      <c r="I28" s="234">
        <f>'20'!I28</f>
      </c>
      <c r="J28" s="234">
        <f>'20'!J28</f>
      </c>
      <c r="K28" s="234">
        <f>'20'!K28</f>
      </c>
      <c r="L28" s="234">
        <f>'20'!L28</f>
      </c>
      <c r="M28" s="234">
        <f>'20'!M28</f>
      </c>
      <c r="N28" s="234">
        <f>'20'!N28</f>
      </c>
      <c r="O28" s="234">
        <f>'20'!O28</f>
      </c>
      <c r="P28" s="234">
        <f>'20'!P28</f>
      </c>
      <c r="Q28" s="234">
        <f>'20'!Q28</f>
      </c>
      <c r="R28" s="234">
        <f>'20'!R28</f>
      </c>
      <c r="S28" s="234">
        <f>'20'!S28</f>
      </c>
      <c r="T28" s="234">
        <f>'20'!T28</f>
      </c>
      <c r="U28" s="234">
        <f>'20'!U28</f>
      </c>
      <c r="V28" s="234">
        <f>'20'!V28</f>
      </c>
      <c r="W28" s="234">
        <f>'20'!W28</f>
      </c>
      <c r="X28" s="234">
        <f>'20'!X28</f>
      </c>
      <c r="Y28" s="234">
        <f>'20'!Y28</f>
      </c>
      <c r="Z28" s="234">
        <f>'20'!Z28</f>
      </c>
      <c r="AA28" s="234">
        <f>'20'!AA28</f>
      </c>
      <c r="AB28" s="234">
        <f>'20'!AB28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'20'!I33</f>
      </c>
      <c r="J32" s="275">
        <f>'20'!J33</f>
      </c>
      <c r="K32" s="275">
        <f>'20'!K33</f>
      </c>
      <c r="L32" s="275">
        <f>'20'!L33</f>
      </c>
      <c r="M32" s="275">
        <f>'20'!M33</f>
      </c>
      <c r="N32" s="275">
        <f>'20'!N33</f>
      </c>
      <c r="O32" s="275">
        <f>'20'!O33</f>
      </c>
      <c r="P32" s="275">
        <f>'20'!P33</f>
      </c>
      <c r="Q32" s="275">
        <f>'20'!Q33</f>
      </c>
      <c r="R32" s="275">
        <f>'20'!R33</f>
      </c>
      <c r="S32" s="275">
        <f>'20'!S33</f>
      </c>
      <c r="T32" s="275">
        <f>'20'!T33</f>
      </c>
      <c r="U32" s="275">
        <f>'20'!U33</f>
      </c>
      <c r="V32" s="275">
        <f>'20'!V33</f>
      </c>
      <c r="W32" s="275">
        <f>'20'!W33</f>
      </c>
      <c r="X32" s="275">
        <f>'20'!X33</f>
      </c>
      <c r="Y32" s="275">
        <f>'20'!Y33</f>
      </c>
      <c r="Z32" s="275">
        <f>'20'!Z33</f>
      </c>
      <c r="AA32" s="275">
        <f>'20'!AA33</f>
      </c>
      <c r="AB32" s="275">
        <f>'20'!AB33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'20'!I35</f>
      </c>
      <c r="J35" s="292">
        <f>'20'!J35</f>
      </c>
      <c r="K35" s="292">
        <f>'20'!K35</f>
      </c>
      <c r="L35" s="292">
        <f>'20'!L35</f>
      </c>
      <c r="M35" s="292">
        <f>'20'!M35</f>
      </c>
      <c r="N35" s="292">
        <f>'20'!N35</f>
      </c>
      <c r="O35" s="292">
        <f>'20'!O35</f>
      </c>
      <c r="P35" s="292">
        <f>'20'!P35</f>
      </c>
      <c r="Q35" s="292">
        <f>'20'!Q35</f>
      </c>
      <c r="R35" s="292">
        <f>'20'!R35</f>
      </c>
      <c r="S35" s="292">
        <f>'20'!S35</f>
      </c>
      <c r="T35" s="292">
        <f>'20'!T35</f>
      </c>
      <c r="U35" s="292">
        <f>'20'!U35</f>
      </c>
      <c r="V35" s="292">
        <f>'20'!V35</f>
      </c>
      <c r="W35" s="292">
        <f>'20'!W35</f>
      </c>
      <c r="X35" s="292">
        <f>'20'!X35</f>
      </c>
      <c r="Y35" s="292">
        <f>'20'!Y35</f>
      </c>
      <c r="Z35" s="292">
        <f>'20'!Z35</f>
      </c>
      <c r="AA35" s="292">
        <f>'20'!AA35</f>
      </c>
      <c r="AB35" s="292">
        <f>'20'!AB35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F36+'20'!F37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L7+'20'!F41:G41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F16+'20'!F42:G42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F17+'20'!F43:G43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L12+'20'!F44:G44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Z30+'20'!F45:G45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Z9+'20'!F46:G46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(F45-F46)+'20'!F47:G47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F31+'20'!F48:G48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F15+'20'!F49:G49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(128.55+29.42+665.77)/7++'20'!F50:G50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Z10+'20'!F51:G51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F18+'20'!F52:G52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(F7-Z9)+'20'!F53:G53</f>
      </c>
      <c r="G53" s="385"/>
      <c r="I53" t="s" s="441">
        <v>328</v>
      </c>
      <c r="J53" s="420"/>
      <c r="K53" s="420"/>
      <c r="L53" s="238"/>
      <c r="M53" s="418">
        <f>L53+'20'!M53:P53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L54+'20'!M54:P54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L55+'20'!M55:P55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L56+'20'!M56:P56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L57+'20'!M57:P57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L58+'20'!M58:P58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L59+'20'!M59:P59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L60+'20'!M60:P60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L61+'20'!M61:P61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L62+'20'!M62:P62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L63+'20'!M63:P63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FCD9-CFCD-4C8C-BC11-589C75F1B9A7}">
  <sheetPr codeName="Sheet33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'21'!E3+1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'21'!O5:Q5</f>
      </c>
      <c r="P5" s="609"/>
      <c r="Q5" s="609"/>
      <c r="R5" s="263"/>
      <c r="S5" s="609">
        <f>'21'!S5:U5</f>
      </c>
      <c r="T5" s="609"/>
      <c r="U5" s="609"/>
      <c r="V5" s="263"/>
      <c r="W5" s="609">
        <f>'21'!W5:Y5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'21'!E24</f>
      </c>
      <c r="F23" s="311">
        <f>'21'!F24</f>
      </c>
      <c r="G23" s="311">
        <f>'21'!G24</f>
      </c>
      <c r="H23" s="311">
        <f>'21'!H24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'21'!E26</f>
      </c>
      <c r="F25" s="257">
        <f>'21'!F26</f>
      </c>
      <c r="G25" s="257">
        <f>'21'!G26</f>
      </c>
      <c r="H25" s="257">
        <f>'21'!H26</f>
      </c>
      <c r="I25" s="275">
        <f>'21'!I26</f>
      </c>
      <c r="J25" s="275">
        <f>'21'!J26</f>
      </c>
      <c r="K25" s="275">
        <f>'21'!K26</f>
      </c>
      <c r="L25" s="275">
        <f>'21'!L26</f>
      </c>
      <c r="M25" s="275">
        <f>'21'!M26</f>
      </c>
      <c r="N25" s="275">
        <f>'21'!N26</f>
      </c>
      <c r="O25" s="275">
        <f>'21'!O26</f>
      </c>
      <c r="P25" s="275">
        <f>'21'!P26</f>
      </c>
      <c r="Q25" s="275">
        <f>'21'!Q26</f>
      </c>
      <c r="R25" s="275">
        <f>'21'!R26</f>
      </c>
      <c r="S25" s="275">
        <f>'21'!S26</f>
      </c>
      <c r="T25" s="275">
        <f>'21'!T26</f>
      </c>
      <c r="U25" s="275">
        <f>'21'!U26</f>
      </c>
      <c r="V25" s="275">
        <f>'21'!V26</f>
      </c>
      <c r="W25" s="275">
        <f>'21'!W26</f>
      </c>
      <c r="X25" s="275">
        <f>'21'!X26</f>
      </c>
      <c r="Y25" s="275">
        <f>'21'!Y26</f>
      </c>
      <c r="Z25" s="275">
        <f>'21'!Z26</f>
      </c>
      <c r="AA25" s="275">
        <f>'21'!AA26</f>
      </c>
      <c r="AB25" s="275">
        <f>'21'!AB26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'21'!E28</f>
      </c>
      <c r="F28" s="233">
        <f>'21'!F28</f>
      </c>
      <c r="G28" s="233">
        <f>'21'!G28</f>
      </c>
      <c r="H28" s="233">
        <f>'21'!H28</f>
      </c>
      <c r="I28" s="234">
        <f>'21'!I28</f>
      </c>
      <c r="J28" s="234">
        <f>'21'!J28</f>
      </c>
      <c r="K28" s="234">
        <f>'21'!K28</f>
      </c>
      <c r="L28" s="234">
        <f>'21'!L28</f>
      </c>
      <c r="M28" s="234">
        <f>'21'!M28</f>
      </c>
      <c r="N28" s="234">
        <f>'21'!N28</f>
      </c>
      <c r="O28" s="234">
        <f>'21'!O28</f>
      </c>
      <c r="P28" s="234">
        <f>'21'!P28</f>
      </c>
      <c r="Q28" s="234">
        <f>'21'!Q28</f>
      </c>
      <c r="R28" s="234">
        <f>'21'!R28</f>
      </c>
      <c r="S28" s="234">
        <f>'21'!S28</f>
      </c>
      <c r="T28" s="234">
        <f>'21'!T28</f>
      </c>
      <c r="U28" s="234">
        <f>'21'!U28</f>
      </c>
      <c r="V28" s="234">
        <f>'21'!V28</f>
      </c>
      <c r="W28" s="234">
        <f>'21'!W28</f>
      </c>
      <c r="X28" s="234">
        <f>'21'!X28</f>
      </c>
      <c r="Y28" s="234">
        <f>'21'!Y28</f>
      </c>
      <c r="Z28" s="234">
        <f>'21'!Z28</f>
      </c>
      <c r="AA28" s="234">
        <f>'21'!AA28</f>
      </c>
      <c r="AB28" s="234">
        <f>'21'!AB28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'21'!I33</f>
      </c>
      <c r="J32" s="275">
        <f>'21'!J33</f>
      </c>
      <c r="K32" s="275">
        <f>'21'!K33</f>
      </c>
      <c r="L32" s="275">
        <f>'21'!L33</f>
      </c>
      <c r="M32" s="275">
        <f>'21'!M33</f>
      </c>
      <c r="N32" s="275">
        <f>'21'!N33</f>
      </c>
      <c r="O32" s="275">
        <f>'21'!O33</f>
      </c>
      <c r="P32" s="275">
        <f>'21'!P33</f>
      </c>
      <c r="Q32" s="275">
        <f>'21'!Q33</f>
      </c>
      <c r="R32" s="275">
        <f>'21'!R33</f>
      </c>
      <c r="S32" s="275">
        <f>'21'!S33</f>
      </c>
      <c r="T32" s="275">
        <f>'21'!T33</f>
      </c>
      <c r="U32" s="275">
        <f>'21'!U33</f>
      </c>
      <c r="V32" s="275">
        <f>'21'!V33</f>
      </c>
      <c r="W32" s="275">
        <f>'21'!W33</f>
      </c>
      <c r="X32" s="275">
        <f>'21'!X33</f>
      </c>
      <c r="Y32" s="275">
        <f>'21'!Y33</f>
      </c>
      <c r="Z32" s="275">
        <f>'21'!Z33</f>
      </c>
      <c r="AA32" s="275">
        <f>'21'!AA33</f>
      </c>
      <c r="AB32" s="275">
        <f>'21'!AB33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'21'!I35</f>
      </c>
      <c r="J35" s="292">
        <f>'21'!J35</f>
      </c>
      <c r="K35" s="292">
        <f>'21'!K35</f>
      </c>
      <c r="L35" s="292">
        <f>'21'!L35</f>
      </c>
      <c r="M35" s="292">
        <f>'21'!M35</f>
      </c>
      <c r="N35" s="292">
        <f>'21'!N35</f>
      </c>
      <c r="O35" s="292">
        <f>'21'!O35</f>
      </c>
      <c r="P35" s="292">
        <f>'21'!P35</f>
      </c>
      <c r="Q35" s="292">
        <f>'21'!Q35</f>
      </c>
      <c r="R35" s="292">
        <f>'21'!R35</f>
      </c>
      <c r="S35" s="292">
        <f>'21'!S35</f>
      </c>
      <c r="T35" s="292">
        <f>'21'!T35</f>
      </c>
      <c r="U35" s="292">
        <f>'21'!U35</f>
      </c>
      <c r="V35" s="292">
        <f>'21'!V35</f>
      </c>
      <c r="W35" s="292">
        <f>'21'!W35</f>
      </c>
      <c r="X35" s="292">
        <f>'21'!X35</f>
      </c>
      <c r="Y35" s="292">
        <f>'21'!Y35</f>
      </c>
      <c r="Z35" s="292">
        <f>'21'!Z35</f>
      </c>
      <c r="AA35" s="292">
        <f>'21'!AA35</f>
      </c>
      <c r="AB35" s="292">
        <f>'21'!AB35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F36+'21'!F37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L7+'21'!F41:G41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F16+'21'!F42:G42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F17+'21'!F43:G43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L12+'21'!F44:G44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Z30+'21'!F45:G45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Z9+'21'!F46:G46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(F45-F46)+'21'!F47:G47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F31+'21'!F48:G48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F15+'21'!F49:G49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(128.55+29.42+665.77)/7++'21'!F50:G50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Z10+'21'!F51:G51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F18+'21'!F52:G52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(F7-Z9)+'21'!F53:G53</f>
      </c>
      <c r="G53" s="385"/>
      <c r="I53" t="s" s="441">
        <v>328</v>
      </c>
      <c r="J53" s="420"/>
      <c r="K53" s="420"/>
      <c r="L53" s="238"/>
      <c r="M53" s="418">
        <f>L53+'21'!M53:P53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L54+'21'!M54:P54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L55+'21'!M55:P55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L56+'21'!M56:P56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L57+'21'!M57:P57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L58+'21'!M58:P58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L59+'21'!M59:P59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L60+'21'!M60:P60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L61+'21'!M61:P61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L62+'21'!M62:P62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L63+'21'!M63:P63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4514-305E-4DF2-8CD8-774353BCB9A7}">
  <sheetPr codeName="Sheet34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'22'!E3+1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'22'!O5:Q5</f>
      </c>
      <c r="P5" s="609"/>
      <c r="Q5" s="609"/>
      <c r="R5" s="263"/>
      <c r="S5" s="609">
        <f>'22'!S5:U5</f>
      </c>
      <c r="T5" s="609"/>
      <c r="U5" s="609"/>
      <c r="V5" s="263"/>
      <c r="W5" s="609">
        <f>'22'!W5:Y5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'22'!E24</f>
      </c>
      <c r="F23" s="311">
        <f>'22'!F24</f>
      </c>
      <c r="G23" s="311">
        <f>'22'!G24</f>
      </c>
      <c r="H23" s="311">
        <f>'22'!H24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'22'!E26</f>
      </c>
      <c r="F25" s="257">
        <f>'22'!F26</f>
      </c>
      <c r="G25" s="257">
        <f>'22'!G26</f>
      </c>
      <c r="H25" s="257">
        <f>'22'!H26</f>
      </c>
      <c r="I25" s="275">
        <f>'22'!I26</f>
      </c>
      <c r="J25" s="275">
        <f>'22'!J26</f>
      </c>
      <c r="K25" s="275">
        <f>'22'!K26</f>
      </c>
      <c r="L25" s="275">
        <f>'22'!L26</f>
      </c>
      <c r="M25" s="275">
        <f>'22'!M26</f>
      </c>
      <c r="N25" s="275">
        <f>'22'!N26</f>
      </c>
      <c r="O25" s="275">
        <f>'22'!O26</f>
      </c>
      <c r="P25" s="275">
        <f>'22'!P26</f>
      </c>
      <c r="Q25" s="275">
        <f>'22'!Q26</f>
      </c>
      <c r="R25" s="275">
        <f>'22'!R26</f>
      </c>
      <c r="S25" s="275">
        <f>'22'!S26</f>
      </c>
      <c r="T25" s="275">
        <f>'22'!T26</f>
      </c>
      <c r="U25" s="275">
        <f>'22'!U26</f>
      </c>
      <c r="V25" s="275">
        <f>'22'!V26</f>
      </c>
      <c r="W25" s="275">
        <f>'22'!W26</f>
      </c>
      <c r="X25" s="275">
        <f>'22'!X26</f>
      </c>
      <c r="Y25" s="275">
        <f>'22'!Y26</f>
      </c>
      <c r="Z25" s="275">
        <f>'22'!Z26</f>
      </c>
      <c r="AA25" s="275">
        <f>'22'!AA26</f>
      </c>
      <c r="AB25" s="275">
        <f>'22'!AB26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'22'!E28</f>
      </c>
      <c r="F28" s="233">
        <f>'22'!F28</f>
      </c>
      <c r="G28" s="233">
        <f>'22'!G28</f>
      </c>
      <c r="H28" s="233">
        <f>'22'!H28</f>
      </c>
      <c r="I28" s="234">
        <f>'22'!I28</f>
      </c>
      <c r="J28" s="234">
        <f>'22'!J28</f>
      </c>
      <c r="K28" s="234">
        <f>'22'!K28</f>
      </c>
      <c r="L28" s="234">
        <f>'22'!L28</f>
      </c>
      <c r="M28" s="234">
        <f>'22'!M28</f>
      </c>
      <c r="N28" s="234">
        <f>'22'!N28</f>
      </c>
      <c r="O28" s="234">
        <f>'22'!O28</f>
      </c>
      <c r="P28" s="234">
        <f>'22'!P28</f>
      </c>
      <c r="Q28" s="234">
        <f>'22'!Q28</f>
      </c>
      <c r="R28" s="234">
        <f>'22'!R28</f>
      </c>
      <c r="S28" s="234">
        <f>'22'!S28</f>
      </c>
      <c r="T28" s="234">
        <f>'22'!T28</f>
      </c>
      <c r="U28" s="234">
        <f>'22'!U28</f>
      </c>
      <c r="V28" s="234">
        <f>'22'!V28</f>
      </c>
      <c r="W28" s="234">
        <f>'22'!W28</f>
      </c>
      <c r="X28" s="234">
        <f>'22'!X28</f>
      </c>
      <c r="Y28" s="234">
        <f>'22'!Y28</f>
      </c>
      <c r="Z28" s="234">
        <f>'22'!Z28</f>
      </c>
      <c r="AA28" s="234">
        <f>'22'!AA28</f>
      </c>
      <c r="AB28" s="234">
        <f>'22'!AB28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'22'!I33</f>
      </c>
      <c r="J32" s="275">
        <f>'22'!J33</f>
      </c>
      <c r="K32" s="275">
        <f>'22'!K33</f>
      </c>
      <c r="L32" s="275">
        <f>'22'!L33</f>
      </c>
      <c r="M32" s="275">
        <f>'22'!M33</f>
      </c>
      <c r="N32" s="275">
        <f>'22'!N33</f>
      </c>
      <c r="O32" s="275">
        <f>'22'!O33</f>
      </c>
      <c r="P32" s="275">
        <f>'22'!P33</f>
      </c>
      <c r="Q32" s="275">
        <f>'22'!Q33</f>
      </c>
      <c r="R32" s="275">
        <f>'22'!R33</f>
      </c>
      <c r="S32" s="275">
        <f>'22'!S33</f>
      </c>
      <c r="T32" s="275">
        <f>'22'!T33</f>
      </c>
      <c r="U32" s="275">
        <f>'22'!U33</f>
      </c>
      <c r="V32" s="275">
        <f>'22'!V33</f>
      </c>
      <c r="W32" s="275">
        <f>'22'!W33</f>
      </c>
      <c r="X32" s="275">
        <f>'22'!X33</f>
      </c>
      <c r="Y32" s="275">
        <f>'22'!Y33</f>
      </c>
      <c r="Z32" s="275">
        <f>'22'!Z33</f>
      </c>
      <c r="AA32" s="275">
        <f>'22'!AA33</f>
      </c>
      <c r="AB32" s="275">
        <f>'22'!AB33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'22'!I35</f>
      </c>
      <c r="J35" s="292">
        <f>'22'!J35</f>
      </c>
      <c r="K35" s="292">
        <f>'22'!K35</f>
      </c>
      <c r="L35" s="292">
        <f>'22'!L35</f>
      </c>
      <c r="M35" s="292">
        <f>'22'!M35</f>
      </c>
      <c r="N35" s="292">
        <f>'22'!N35</f>
      </c>
      <c r="O35" s="292">
        <f>'22'!O35</f>
      </c>
      <c r="P35" s="292">
        <f>'22'!P35</f>
      </c>
      <c r="Q35" s="292">
        <f>'22'!Q35</f>
      </c>
      <c r="R35" s="292">
        <f>'22'!R35</f>
      </c>
      <c r="S35" s="292">
        <f>'22'!S35</f>
      </c>
      <c r="T35" s="292">
        <f>'22'!T35</f>
      </c>
      <c r="U35" s="292">
        <f>'22'!U35</f>
      </c>
      <c r="V35" s="292">
        <f>'22'!V35</f>
      </c>
      <c r="W35" s="292">
        <f>'22'!W35</f>
      </c>
      <c r="X35" s="292">
        <f>'22'!X35</f>
      </c>
      <c r="Y35" s="292">
        <f>'22'!Y35</f>
      </c>
      <c r="Z35" s="292">
        <f>'22'!Z35</f>
      </c>
      <c r="AA35" s="292">
        <f>'22'!AA35</f>
      </c>
      <c r="AB35" s="292">
        <f>'22'!AB35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F36+'22'!F37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L7+'22'!F41:G41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F16+'22'!F42:G42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F17+'22'!F43:G43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L12+'22'!F44:G44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Z30+'22'!F45:G45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Z9+'22'!F46:G46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(F45-F46)+'22'!F47:G47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F31+'22'!F48:G48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F15+'22'!F49:G49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(128.55+29.42+665.77)/7++'22'!F50:G50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Z10+'22'!F51:G51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F18+'22'!F52:G52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(F7-Z9)+'22'!F53:G53</f>
      </c>
      <c r="G53" s="385"/>
      <c r="I53" t="s" s="441">
        <v>331</v>
      </c>
      <c r="J53" s="420"/>
      <c r="K53" s="420"/>
      <c r="L53" s="238"/>
      <c r="M53" s="418">
        <f>L53+'22'!M53:P53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L54+'22'!M54:P54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L55+'22'!M55:P55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L56+'22'!M56:P56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L57+'22'!M57:P57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L58+'22'!M58:P58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L59+'22'!M59:P59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L60+'22'!M60:P60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L61+'22'!M61:P61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L62+'22'!M62:P62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L63+'22'!M63:P63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M64:P64"/>
    <mergeCell ref="C37:E37"/>
    <mergeCell ref="C52:E52"/>
    <mergeCell ref="F52:G52"/>
    <mergeCell ref="C53:E53"/>
    <mergeCell ref="F53:G53"/>
    <mergeCell ref="I62:K62"/>
    <mergeCell ref="M62:P62"/>
    <mergeCell ref="I63:K63"/>
    <mergeCell ref="M63:P63"/>
    <mergeCell ref="M42:N42"/>
    <mergeCell ref="O42:Q42"/>
    <mergeCell ref="F43:G43"/>
    <mergeCell ref="I43:J43"/>
    <mergeCell ref="M43:N43"/>
    <mergeCell ref="O43:Q43"/>
    <mergeCell ref="F44:G44"/>
    <mergeCell ref="M44:N44"/>
    <mergeCell ref="O44:Q44"/>
    <mergeCell ref="I42:J42"/>
    <mergeCell ref="F45:G45"/>
    <mergeCell ref="F46:G46"/>
    <mergeCell ref="F47:G47"/>
    <mergeCell ref="F48:G48"/>
    <mergeCell ref="C49:E49"/>
    <mergeCell ref="U49:Y49"/>
    <mergeCell ref="Z49:AB49"/>
    <mergeCell ref="C50:E50"/>
    <mergeCell ref="C51:E51"/>
    <mergeCell ref="C35:E35"/>
    <mergeCell ref="C41:E41"/>
    <mergeCell ref="C42:E42"/>
    <mergeCell ref="C43:E43"/>
    <mergeCell ref="C44:E44"/>
    <mergeCell ref="C45:E45"/>
    <mergeCell ref="C46:E46"/>
    <mergeCell ref="C47:E47"/>
    <mergeCell ref="C48:E48"/>
    <mergeCell ref="Z48:AB48"/>
    <mergeCell ref="T40:Y40"/>
    <mergeCell ref="F42:G42"/>
    <mergeCell ref="T45:Y45"/>
    <mergeCell ref="Z45:AB45"/>
    <mergeCell ref="T46:Y46"/>
    <mergeCell ref="Z46:AB46"/>
    <mergeCell ref="T41:Y41"/>
    <mergeCell ref="Z41:AB41"/>
    <mergeCell ref="T42:Y42"/>
    <mergeCell ref="D9:E9"/>
    <mergeCell ref="H9:K9"/>
    <mergeCell ref="L9:R9"/>
    <mergeCell ref="T9:Y9"/>
    <mergeCell ref="Z9:AB9"/>
    <mergeCell ref="S18:Y18"/>
    <mergeCell ref="Z18:AB18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C12:D12"/>
    <mergeCell ref="I12:K12"/>
    <mergeCell ref="L12:R13"/>
    <mergeCell ref="T12:Y12"/>
    <mergeCell ref="Z12:AB12"/>
    <mergeCell ref="D13:E13"/>
    <mergeCell ref="I13:K13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C22:D22"/>
    <mergeCell ref="C23:D23"/>
    <mergeCell ref="C30:E30"/>
    <mergeCell ref="T17:Y17"/>
    <mergeCell ref="C18:E18"/>
    <mergeCell ref="F18:G18"/>
    <mergeCell ref="I22:AB23"/>
    <mergeCell ref="C24:D24"/>
    <mergeCell ref="M30:N30"/>
    <mergeCell ref="O30:S30"/>
    <mergeCell ref="T30:U30"/>
    <mergeCell ref="V30:Y30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Z15:AB15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Z17:AB17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3:Y13"/>
    <mergeCell ref="Z13:AB13"/>
    <mergeCell ref="C14:D14"/>
    <mergeCell ref="C36:E36"/>
    <mergeCell ref="K37:P37"/>
    <mergeCell ref="Q37:R37"/>
    <mergeCell ref="C40:G40"/>
    <mergeCell ref="F41:G41"/>
    <mergeCell ref="I41:K41"/>
    <mergeCell ref="M41:Q41"/>
    <mergeCell ref="Z40:AB40"/>
    <mergeCell ref="C34:E34"/>
    <mergeCell ref="S39:AB39"/>
    <mergeCell ref="C31:E31"/>
    <mergeCell ref="C32:E32"/>
    <mergeCell ref="C28:D28"/>
    <mergeCell ref="C25:D25"/>
    <mergeCell ref="C26:D26"/>
    <mergeCell ref="C27:D27"/>
    <mergeCell ref="C29:D29"/>
    <mergeCell ref="F30:H30"/>
    <mergeCell ref="I30:L30"/>
    <mergeCell ref="M59:P59"/>
    <mergeCell ref="I60:K60"/>
    <mergeCell ref="F49:G49"/>
    <mergeCell ref="F50:G50"/>
    <mergeCell ref="F51:G51"/>
    <mergeCell ref="I51:P51"/>
    <mergeCell ref="S51:AB51"/>
    <mergeCell ref="N46:Q46"/>
    <mergeCell ref="N47:O47"/>
    <mergeCell ref="P47:Q47"/>
    <mergeCell ref="N48:O48"/>
    <mergeCell ref="P48:Q48"/>
    <mergeCell ref="N49:O49"/>
    <mergeCell ref="P49:Q49"/>
    <mergeCell ref="T47:Y47"/>
    <mergeCell ref="Z47:AB47"/>
    <mergeCell ref="T48:Y48"/>
    <mergeCell ref="M60:P60"/>
    <mergeCell ref="I61:K61"/>
    <mergeCell ref="M61:P61"/>
    <mergeCell ref="T44:Y44"/>
    <mergeCell ref="Z44:AB44"/>
    <mergeCell ref="Z42:AB42"/>
    <mergeCell ref="T43:Y43"/>
    <mergeCell ref="Z43:AB43"/>
    <mergeCell ref="Z30:AB30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</mergeCells>
  <printOptions horizontalCentered="1"/>
  <pageMargins left="0.25" right="0.2" top="0.25" bottom="0.25" header="0.3" footer="0.3"/>
  <pageSetup scale="75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70BF-41DA-4F24-A717-697B0770B9A7}">
  <sheetPr codeName="Sheet35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'23'!E3+1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'23'!O5:Q5</f>
      </c>
      <c r="P5" s="609"/>
      <c r="Q5" s="609"/>
      <c r="R5" s="263"/>
      <c r="S5" s="609">
        <f>'23'!S5:U5</f>
      </c>
      <c r="T5" s="609"/>
      <c r="U5" s="609"/>
      <c r="V5" s="263"/>
      <c r="W5" s="609">
        <f>'23'!W5:Y5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'23'!E24</f>
      </c>
      <c r="F23" s="311">
        <f>'23'!F24</f>
      </c>
      <c r="G23" s="311">
        <f>'23'!G24</f>
      </c>
      <c r="H23" s="311">
        <f>'23'!H24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'23'!E26</f>
      </c>
      <c r="F25" s="257">
        <f>'23'!F26</f>
      </c>
      <c r="G25" s="257">
        <f>'23'!G26</f>
      </c>
      <c r="H25" s="257">
        <f>'23'!H26</f>
      </c>
      <c r="I25" s="275">
        <f>'23'!I26</f>
      </c>
      <c r="J25" s="275">
        <f>'23'!J26</f>
      </c>
      <c r="K25" s="275">
        <f>'23'!K26</f>
      </c>
      <c r="L25" s="275">
        <f>'23'!L26</f>
      </c>
      <c r="M25" s="275">
        <f>'23'!M26</f>
      </c>
      <c r="N25" s="275">
        <f>'23'!N26</f>
      </c>
      <c r="O25" s="275">
        <f>'23'!O26</f>
      </c>
      <c r="P25" s="275">
        <f>'23'!P26</f>
      </c>
      <c r="Q25" s="275">
        <f>'23'!Q26</f>
      </c>
      <c r="R25" s="275">
        <f>'23'!R26</f>
      </c>
      <c r="S25" s="275">
        <f>'23'!S26</f>
      </c>
      <c r="T25" s="275">
        <f>'23'!T26</f>
      </c>
      <c r="U25" s="275">
        <f>'23'!U26</f>
      </c>
      <c r="V25" s="275">
        <f>'23'!V26</f>
      </c>
      <c r="W25" s="275">
        <f>'23'!W26</f>
      </c>
      <c r="X25" s="275">
        <f>'23'!X26</f>
      </c>
      <c r="Y25" s="275">
        <f>'23'!Y26</f>
      </c>
      <c r="Z25" s="275">
        <f>'23'!Z26</f>
      </c>
      <c r="AA25" s="275">
        <f>'23'!AA26</f>
      </c>
      <c r="AB25" s="275">
        <f>'23'!AB26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'23'!E28</f>
      </c>
      <c r="F28" s="233">
        <f>'23'!F28</f>
      </c>
      <c r="G28" s="233">
        <f>'23'!G28</f>
      </c>
      <c r="H28" s="233">
        <f>'23'!H28</f>
      </c>
      <c r="I28" s="234">
        <f>'23'!I28</f>
      </c>
      <c r="J28" s="234">
        <f>'23'!J28</f>
      </c>
      <c r="K28" s="234">
        <f>'23'!K28</f>
      </c>
      <c r="L28" s="234">
        <f>'23'!L28</f>
      </c>
      <c r="M28" s="234">
        <f>'23'!M28</f>
      </c>
      <c r="N28" s="234">
        <f>'23'!N28</f>
      </c>
      <c r="O28" s="234">
        <f>'23'!O28</f>
      </c>
      <c r="P28" s="234">
        <f>'23'!P28</f>
      </c>
      <c r="Q28" s="234">
        <f>'23'!Q28</f>
      </c>
      <c r="R28" s="234">
        <f>'23'!R28</f>
      </c>
      <c r="S28" s="234">
        <f>'23'!S28</f>
      </c>
      <c r="T28" s="234">
        <f>'23'!T28</f>
      </c>
      <c r="U28" s="234">
        <f>'23'!U28</f>
      </c>
      <c r="V28" s="234">
        <f>'23'!V28</f>
      </c>
      <c r="W28" s="234">
        <f>'23'!W28</f>
      </c>
      <c r="X28" s="234">
        <f>'23'!X28</f>
      </c>
      <c r="Y28" s="234">
        <f>'23'!Y28</f>
      </c>
      <c r="Z28" s="234">
        <f>'23'!Z28</f>
      </c>
      <c r="AA28" s="234">
        <f>'23'!AA28</f>
      </c>
      <c r="AB28" s="234">
        <f>'23'!AB28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'23'!I33</f>
      </c>
      <c r="J32" s="275">
        <f>'23'!J33</f>
      </c>
      <c r="K32" s="275">
        <f>'23'!K33</f>
      </c>
      <c r="L32" s="275">
        <f>'23'!L33</f>
      </c>
      <c r="M32" s="275">
        <f>'23'!M33</f>
      </c>
      <c r="N32" s="275">
        <f>'23'!N33</f>
      </c>
      <c r="O32" s="275">
        <f>'23'!O33</f>
      </c>
      <c r="P32" s="275">
        <f>'23'!P33</f>
      </c>
      <c r="Q32" s="275">
        <f>'23'!Q33</f>
      </c>
      <c r="R32" s="275">
        <f>'23'!R33</f>
      </c>
      <c r="S32" s="275">
        <f>'23'!S33</f>
      </c>
      <c r="T32" s="275">
        <f>'23'!T33</f>
      </c>
      <c r="U32" s="275">
        <f>'23'!U33</f>
      </c>
      <c r="V32" s="275">
        <f>'23'!V33</f>
      </c>
      <c r="W32" s="275">
        <f>'23'!W33</f>
      </c>
      <c r="X32" s="275">
        <f>'23'!X33</f>
      </c>
      <c r="Y32" s="275">
        <f>'23'!Y33</f>
      </c>
      <c r="Z32" s="275">
        <f>'23'!Z33</f>
      </c>
      <c r="AA32" s="275">
        <f>'23'!AA33</f>
      </c>
      <c r="AB32" s="275">
        <f>'23'!AB33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'23'!I35</f>
      </c>
      <c r="J35" s="292">
        <f>'23'!J35</f>
      </c>
      <c r="K35" s="292">
        <f>'23'!K35</f>
      </c>
      <c r="L35" s="292">
        <f>'23'!L35</f>
      </c>
      <c r="M35" s="292">
        <f>'23'!M35</f>
      </c>
      <c r="N35" s="292">
        <f>'23'!N35</f>
      </c>
      <c r="O35" s="292">
        <f>'23'!O35</f>
      </c>
      <c r="P35" s="292">
        <f>'23'!P35</f>
      </c>
      <c r="Q35" s="292">
        <f>'23'!Q35</f>
      </c>
      <c r="R35" s="292">
        <f>'23'!R35</f>
      </c>
      <c r="S35" s="292">
        <f>'23'!S35</f>
      </c>
      <c r="T35" s="292">
        <f>'23'!T35</f>
      </c>
      <c r="U35" s="292">
        <f>'23'!U35</f>
      </c>
      <c r="V35" s="292">
        <f>'23'!V35</f>
      </c>
      <c r="W35" s="292">
        <f>'23'!W35</f>
      </c>
      <c r="X35" s="292">
        <f>'23'!X35</f>
      </c>
      <c r="Y35" s="292">
        <f>'23'!Y35</f>
      </c>
      <c r="Z35" s="292">
        <f>'23'!Z35</f>
      </c>
      <c r="AA35" s="292">
        <f>'23'!AA35</f>
      </c>
      <c r="AB35" s="292">
        <f>'23'!AB35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F36+'23'!F37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L7+'23'!F41:G41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F16+'23'!F42:G42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F17+'23'!F43:G43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L12+'23'!F44:G44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Z30+'23'!F45:G45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Z9+'23'!F46:G46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(F45-F46)+'23'!F47:G47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F31+'23'!F48:G48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F15+'23'!F49:G49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(128.55+29.42+665.77)/7++'23'!F50:G50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Z10+'23'!F51:G51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F18+'23'!F52:G52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(F7-Z9)+'23'!F53:G53</f>
      </c>
      <c r="G53" s="385"/>
      <c r="I53" t="s" s="441">
        <v>331</v>
      </c>
      <c r="J53" s="420"/>
      <c r="K53" s="420"/>
      <c r="L53" s="238"/>
      <c r="M53" s="418">
        <f>L53+'23'!M53:P53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L54+'23'!M54:P54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L55+'23'!M55:P55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L56+'23'!M56:P56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L57+'23'!M57:P57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L58+'23'!M58:P58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L59+'23'!M59:P59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L60+'23'!M60:P60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L61+'23'!M61:P61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L62+'23'!M62:P62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L63+'23'!M63:P63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D1A4-3DF7-4586-B377-49B2094DB9A7}">
  <sheetPr codeName="Sheet36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'24'!E3+1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'24'!O5:Q5</f>
      </c>
      <c r="P5" s="609"/>
      <c r="Q5" s="609"/>
      <c r="R5" s="263"/>
      <c r="S5" s="609">
        <f>'24'!S5:U5</f>
      </c>
      <c r="T5" s="609"/>
      <c r="U5" s="609"/>
      <c r="V5" s="263"/>
      <c r="W5" s="609">
        <f>'24'!W5:Y5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'24'!E24</f>
      </c>
      <c r="F23" s="311">
        <f>'24'!F24</f>
      </c>
      <c r="G23" s="311">
        <f>'24'!G24</f>
      </c>
      <c r="H23" s="311">
        <f>'24'!H24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'24'!E26</f>
      </c>
      <c r="F25" s="257">
        <f>'24'!F26</f>
      </c>
      <c r="G25" s="257">
        <f>'24'!G26</f>
      </c>
      <c r="H25" s="257">
        <f>'24'!H26</f>
      </c>
      <c r="I25" s="275">
        <f>'24'!I26</f>
      </c>
      <c r="J25" s="275">
        <f>'24'!J26</f>
      </c>
      <c r="K25" s="275">
        <f>'24'!K26</f>
      </c>
      <c r="L25" s="275">
        <f>'24'!L26</f>
      </c>
      <c r="M25" s="275">
        <f>'24'!M26</f>
      </c>
      <c r="N25" s="275">
        <f>'24'!N26</f>
      </c>
      <c r="O25" s="275">
        <f>'24'!O26</f>
      </c>
      <c r="P25" s="275">
        <f>'24'!P26</f>
      </c>
      <c r="Q25" s="275">
        <f>'24'!Q26</f>
      </c>
      <c r="R25" s="275">
        <f>'24'!R26</f>
      </c>
      <c r="S25" s="275">
        <f>'24'!S26</f>
      </c>
      <c r="T25" s="275">
        <f>'24'!T26</f>
      </c>
      <c r="U25" s="275">
        <f>'24'!U26</f>
      </c>
      <c r="V25" s="275">
        <f>'24'!V26</f>
      </c>
      <c r="W25" s="275">
        <f>'24'!W26</f>
      </c>
      <c r="X25" s="275">
        <f>'24'!X26</f>
      </c>
      <c r="Y25" s="275">
        <f>'24'!Y26</f>
      </c>
      <c r="Z25" s="275">
        <f>'24'!Z26</f>
      </c>
      <c r="AA25" s="275">
        <f>'24'!AA26</f>
      </c>
      <c r="AB25" s="275">
        <f>'24'!AB26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'24'!E28</f>
      </c>
      <c r="F28" s="233">
        <f>'24'!F28</f>
      </c>
      <c r="G28" s="233">
        <f>'24'!G28</f>
      </c>
      <c r="H28" s="233">
        <f>'24'!H28</f>
      </c>
      <c r="I28" s="234">
        <f>'24'!I28</f>
      </c>
      <c r="J28" s="234">
        <f>'24'!J28</f>
      </c>
      <c r="K28" s="234">
        <f>'24'!K28</f>
      </c>
      <c r="L28" s="234">
        <f>'24'!L28</f>
      </c>
      <c r="M28" s="234">
        <f>'24'!M28</f>
      </c>
      <c r="N28" s="234">
        <f>'24'!N28</f>
      </c>
      <c r="O28" s="234">
        <f>'24'!O28</f>
      </c>
      <c r="P28" s="234">
        <f>'24'!P28</f>
      </c>
      <c r="Q28" s="234">
        <f>'24'!Q28</f>
      </c>
      <c r="R28" s="234">
        <f>'24'!R28</f>
      </c>
      <c r="S28" s="234">
        <f>'24'!S28</f>
      </c>
      <c r="T28" s="234">
        <f>'24'!T28</f>
      </c>
      <c r="U28" s="234">
        <f>'24'!U28</f>
      </c>
      <c r="V28" s="234">
        <f>'24'!V28</f>
      </c>
      <c r="W28" s="234">
        <f>'24'!W28</f>
      </c>
      <c r="X28" s="234">
        <f>'24'!X28</f>
      </c>
      <c r="Y28" s="234">
        <f>'24'!Y28</f>
      </c>
      <c r="Z28" s="234">
        <f>'24'!Z28</f>
      </c>
      <c r="AA28" s="234">
        <f>'24'!AA28</f>
      </c>
      <c r="AB28" s="234">
        <f>'24'!AB28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'24'!I33</f>
      </c>
      <c r="J32" s="275">
        <f>'24'!J33</f>
      </c>
      <c r="K32" s="275">
        <f>'24'!K33</f>
      </c>
      <c r="L32" s="275">
        <f>'24'!L33</f>
      </c>
      <c r="M32" s="275">
        <f>'24'!M33</f>
      </c>
      <c r="N32" s="275">
        <f>'24'!N33</f>
      </c>
      <c r="O32" s="275">
        <f>'24'!O33</f>
      </c>
      <c r="P32" s="275">
        <f>'24'!P33</f>
      </c>
      <c r="Q32" s="275">
        <f>'24'!Q33</f>
      </c>
      <c r="R32" s="275">
        <f>'24'!R33</f>
      </c>
      <c r="S32" s="275">
        <f>'24'!S33</f>
      </c>
      <c r="T32" s="275">
        <f>'24'!T33</f>
      </c>
      <c r="U32" s="275">
        <f>'24'!U33</f>
      </c>
      <c r="V32" s="275">
        <f>'24'!V33</f>
      </c>
      <c r="W32" s="275">
        <f>'24'!W33</f>
      </c>
      <c r="X32" s="275">
        <f>'24'!X33</f>
      </c>
      <c r="Y32" s="275">
        <f>'24'!Y33</f>
      </c>
      <c r="Z32" s="275">
        <f>'24'!Z33</f>
      </c>
      <c r="AA32" s="275">
        <f>'24'!AA33</f>
      </c>
      <c r="AB32" s="275">
        <f>'24'!AB33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'24'!I35</f>
      </c>
      <c r="J35" s="292">
        <f>'24'!J35</f>
      </c>
      <c r="K35" s="292">
        <f>'24'!K35</f>
      </c>
      <c r="L35" s="292">
        <f>'24'!L35</f>
      </c>
      <c r="M35" s="292">
        <f>'24'!M35</f>
      </c>
      <c r="N35" s="292">
        <f>'24'!N35</f>
      </c>
      <c r="O35" s="292">
        <f>'24'!O35</f>
      </c>
      <c r="P35" s="292">
        <f>'24'!P35</f>
      </c>
      <c r="Q35" s="292">
        <f>'24'!Q35</f>
      </c>
      <c r="R35" s="292">
        <f>'24'!R35</f>
      </c>
      <c r="S35" s="292">
        <f>'24'!S35</f>
      </c>
      <c r="T35" s="292">
        <f>'24'!T35</f>
      </c>
      <c r="U35" s="292">
        <f>'24'!U35</f>
      </c>
      <c r="V35" s="292">
        <f>'24'!V35</f>
      </c>
      <c r="W35" s="292">
        <f>'24'!W35</f>
      </c>
      <c r="X35" s="292">
        <f>'24'!X35</f>
      </c>
      <c r="Y35" s="292">
        <f>'24'!Y35</f>
      </c>
      <c r="Z35" s="292">
        <f>'24'!Z35</f>
      </c>
      <c r="AA35" s="292">
        <f>'24'!AA35</f>
      </c>
      <c r="AB35" s="292">
        <f>'24'!AB35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F36+'24'!F37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L7+'24'!F41:G41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F16+'24'!F42:G42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F17+'24'!F43:G43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L12+'24'!F44:G44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Z30+'24'!F45:G45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Z9+'24'!F46:G46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(F45-F46)+'24'!F47:G47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F31+'24'!F48:G48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F15+'24'!F49:G49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(128.55+29.42+665.77)/7++'24'!F50:G50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Z10+'24'!F51:G51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F18+'24'!F52:G52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(F7-Z9)+'24'!F53:G53</f>
      </c>
      <c r="G53" s="385"/>
      <c r="I53" t="s" s="441">
        <v>328</v>
      </c>
      <c r="J53" s="420"/>
      <c r="K53" s="420"/>
      <c r="L53" s="238"/>
      <c r="M53" s="418">
        <f>L53+'24'!M53:P53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L54+'24'!M54:P54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L55+'24'!M55:P55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L56+'24'!M56:P56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L57+'24'!M57:P57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L58+'24'!M58:P58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L59+'24'!M59:P59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L60+'24'!M60:P60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L61+'24'!M61:P61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L62+'24'!M62:P62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L63+'24'!M63:P63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D51F-6E91-4E20-9CF5-F6539B70B9A7}">
  <sheetPr codeName="Sheet37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'25'!E3+1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'25'!O5:Q5</f>
      </c>
      <c r="P5" s="609"/>
      <c r="Q5" s="609"/>
      <c r="R5" s="263"/>
      <c r="S5" s="609">
        <f>'25'!S5:U5</f>
      </c>
      <c r="T5" s="609"/>
      <c r="U5" s="609"/>
      <c r="V5" s="263"/>
      <c r="W5" s="609">
        <f>'25'!W5:Y5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'25'!E24</f>
      </c>
      <c r="F23" s="311">
        <f>'25'!F24</f>
      </c>
      <c r="G23" s="311">
        <f>'25'!G24</f>
      </c>
      <c r="H23" s="311">
        <f>'25'!H24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'25'!E26</f>
      </c>
      <c r="F25" s="257">
        <f>'25'!F26</f>
      </c>
      <c r="G25" s="257">
        <f>'25'!G26</f>
      </c>
      <c r="H25" s="257">
        <f>'25'!H26</f>
      </c>
      <c r="I25" s="275">
        <f>'25'!I26</f>
      </c>
      <c r="J25" s="275">
        <f>'25'!J26</f>
      </c>
      <c r="K25" s="275">
        <f>'25'!K26</f>
      </c>
      <c r="L25" s="275">
        <f>'25'!L26</f>
      </c>
      <c r="M25" s="275">
        <f>'25'!M26</f>
      </c>
      <c r="N25" s="275">
        <f>'25'!N26</f>
      </c>
      <c r="O25" s="275">
        <f>'25'!O26</f>
      </c>
      <c r="P25" s="275">
        <f>'25'!P26</f>
      </c>
      <c r="Q25" s="275">
        <f>'25'!Q26</f>
      </c>
      <c r="R25" s="275">
        <f>'25'!R26</f>
      </c>
      <c r="S25" s="275">
        <f>'25'!S26</f>
      </c>
      <c r="T25" s="275">
        <f>'25'!T26</f>
      </c>
      <c r="U25" s="275">
        <f>'25'!U26</f>
      </c>
      <c r="V25" s="275">
        <f>'25'!V26</f>
      </c>
      <c r="W25" s="275">
        <f>'25'!W26</f>
      </c>
      <c r="X25" s="275">
        <f>'25'!X26</f>
      </c>
      <c r="Y25" s="275">
        <f>'25'!Y26</f>
      </c>
      <c r="Z25" s="275">
        <f>'25'!Z26</f>
      </c>
      <c r="AA25" s="275">
        <f>'25'!AA26</f>
      </c>
      <c r="AB25" s="275">
        <f>'25'!AB26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'25'!E28</f>
      </c>
      <c r="F28" s="233">
        <f>'25'!F28</f>
      </c>
      <c r="G28" s="233">
        <f>'25'!G28</f>
      </c>
      <c r="H28" s="233">
        <f>'25'!H28</f>
      </c>
      <c r="I28" s="234">
        <f>'25'!I28</f>
      </c>
      <c r="J28" s="234">
        <f>'25'!J28</f>
      </c>
      <c r="K28" s="234">
        <f>'25'!K28</f>
      </c>
      <c r="L28" s="234">
        <f>'25'!L28</f>
      </c>
      <c r="M28" s="234">
        <f>'25'!M28</f>
      </c>
      <c r="N28" s="234">
        <f>'25'!N28</f>
      </c>
      <c r="O28" s="234">
        <f>'25'!O28</f>
      </c>
      <c r="P28" s="234">
        <f>'25'!P28</f>
      </c>
      <c r="Q28" s="234">
        <f>'25'!Q28</f>
      </c>
      <c r="R28" s="234">
        <f>'25'!R28</f>
      </c>
      <c r="S28" s="234">
        <f>'25'!S28</f>
      </c>
      <c r="T28" s="234">
        <f>'25'!T28</f>
      </c>
      <c r="U28" s="234">
        <f>'25'!U28</f>
      </c>
      <c r="V28" s="234">
        <f>'25'!V28</f>
      </c>
      <c r="W28" s="234">
        <f>'25'!W28</f>
      </c>
      <c r="X28" s="234">
        <f>'25'!X28</f>
      </c>
      <c r="Y28" s="234">
        <f>'25'!Y28</f>
      </c>
      <c r="Z28" s="234">
        <f>'25'!Z28</f>
      </c>
      <c r="AA28" s="234">
        <f>'25'!AA28</f>
      </c>
      <c r="AB28" s="234">
        <f>'25'!AB28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'25'!I33</f>
      </c>
      <c r="J32" s="275">
        <f>'25'!J33</f>
      </c>
      <c r="K32" s="275">
        <f>'25'!K33</f>
      </c>
      <c r="L32" s="275">
        <f>'25'!L33</f>
      </c>
      <c r="M32" s="275">
        <f>'25'!M33</f>
      </c>
      <c r="N32" s="275">
        <f>'25'!N33</f>
      </c>
      <c r="O32" s="275">
        <f>'25'!O33</f>
      </c>
      <c r="P32" s="275">
        <f>'25'!P33</f>
      </c>
      <c r="Q32" s="275">
        <f>'25'!Q33</f>
      </c>
      <c r="R32" s="275">
        <f>'25'!R33</f>
      </c>
      <c r="S32" s="275">
        <f>'25'!S33</f>
      </c>
      <c r="T32" s="275">
        <f>'25'!T33</f>
      </c>
      <c r="U32" s="275">
        <f>'25'!U33</f>
      </c>
      <c r="V32" s="275">
        <f>'25'!V33</f>
      </c>
      <c r="W32" s="275">
        <f>'25'!W33</f>
      </c>
      <c r="X32" s="275">
        <f>'25'!X33</f>
      </c>
      <c r="Y32" s="275">
        <f>'25'!Y33</f>
      </c>
      <c r="Z32" s="275">
        <f>'25'!Z33</f>
      </c>
      <c r="AA32" s="275">
        <f>'25'!AA33</f>
      </c>
      <c r="AB32" s="275">
        <f>'25'!AB33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'25'!I35</f>
      </c>
      <c r="J35" s="292">
        <f>'25'!J35</f>
      </c>
      <c r="K35" s="292">
        <f>'25'!K35</f>
      </c>
      <c r="L35" s="292">
        <f>'25'!L35</f>
      </c>
      <c r="M35" s="292">
        <f>'25'!M35</f>
      </c>
      <c r="N35" s="292">
        <f>'25'!N35</f>
      </c>
      <c r="O35" s="292">
        <f>'25'!O35</f>
      </c>
      <c r="P35" s="292">
        <f>'25'!P35</f>
      </c>
      <c r="Q35" s="292">
        <f>'25'!Q35</f>
      </c>
      <c r="R35" s="292">
        <f>'25'!R35</f>
      </c>
      <c r="S35" s="292">
        <f>'25'!S35</f>
      </c>
      <c r="T35" s="292">
        <f>'25'!T35</f>
      </c>
      <c r="U35" s="292">
        <f>'25'!U35</f>
      </c>
      <c r="V35" s="292">
        <f>'25'!V35</f>
      </c>
      <c r="W35" s="292">
        <f>'25'!W35</f>
      </c>
      <c r="X35" s="292">
        <f>'25'!X35</f>
      </c>
      <c r="Y35" s="292">
        <f>'25'!Y35</f>
      </c>
      <c r="Z35" s="292">
        <f>'25'!Z35</f>
      </c>
      <c r="AA35" s="292">
        <f>'25'!AA35</f>
      </c>
      <c r="AB35" s="292">
        <f>'25'!AB35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F36+'25'!F37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L7+'25'!F41:G41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F16+'25'!F42:G42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F17+'25'!F43:G43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L12+'25'!F44:G44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Z30+'25'!F45:G45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Z9+'25'!F46:G46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(F45-F46)+'25'!F47:G47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F31+'25'!F48:G48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F15+'25'!F49:G49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(128.55+29.42+665.77)/7++'25'!F50:G50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Z10+'25'!F51:G51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F18+'25'!F52:G52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(F7-Z9)+'25'!F53:G53</f>
      </c>
      <c r="G53" s="385"/>
      <c r="I53" t="s" s="441">
        <v>331</v>
      </c>
      <c r="J53" s="420"/>
      <c r="K53" s="420"/>
      <c r="L53" s="238"/>
      <c r="M53" s="418">
        <f>L53+'25'!M53:P53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L54+'25'!M54:P54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L55+'25'!M55:P55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L56+'25'!M56:P56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L57+'25'!M57:P57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L58+'25'!M58:P58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L59+'25'!M59:P59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L60+'25'!M60:P60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L61+'25'!M61:P61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L62+'25'!M62:P62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L63+'25'!M63:P63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A24E-17EC-4948-AB28-0A1CD765B9A7}">
  <sheetPr codeName="Sheet38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'26'!E3+1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'26'!O5:Q5</f>
      </c>
      <c r="P5" s="609"/>
      <c r="Q5" s="609"/>
      <c r="R5" s="263"/>
      <c r="S5" s="609">
        <f>'26'!S5:U5</f>
      </c>
      <c r="T5" s="609"/>
      <c r="U5" s="609"/>
      <c r="V5" s="263"/>
      <c r="W5" s="609">
        <f>'26'!W5:Y5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'26'!E24</f>
      </c>
      <c r="F23" s="311">
        <f>'26'!F24</f>
      </c>
      <c r="G23" s="311">
        <f>'26'!G24</f>
      </c>
      <c r="H23" s="311">
        <f>'26'!H24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'26'!E26</f>
      </c>
      <c r="F25" s="257">
        <f>'26'!F26</f>
      </c>
      <c r="G25" s="257">
        <f>'26'!G26</f>
      </c>
      <c r="H25" s="257">
        <f>'26'!H26</f>
      </c>
      <c r="I25" s="275">
        <f>'26'!I26</f>
      </c>
      <c r="J25" s="275">
        <f>'26'!J26</f>
      </c>
      <c r="K25" s="275">
        <f>'26'!K26</f>
      </c>
      <c r="L25" s="275">
        <f>'26'!L26</f>
      </c>
      <c r="M25" s="275">
        <f>'26'!M26</f>
      </c>
      <c r="N25" s="275">
        <f>'26'!N26</f>
      </c>
      <c r="O25" s="275">
        <f>'26'!O26</f>
      </c>
      <c r="P25" s="275">
        <f>'26'!P26</f>
      </c>
      <c r="Q25" s="275">
        <f>'26'!Q26</f>
      </c>
      <c r="R25" s="275">
        <f>'26'!R26</f>
      </c>
      <c r="S25" s="275">
        <f>'26'!S26</f>
      </c>
      <c r="T25" s="275">
        <f>'26'!T26</f>
      </c>
      <c r="U25" s="275">
        <f>'26'!U26</f>
      </c>
      <c r="V25" s="275">
        <f>'26'!V26</f>
      </c>
      <c r="W25" s="275">
        <f>'26'!W26</f>
      </c>
      <c r="X25" s="275">
        <f>'26'!X26</f>
      </c>
      <c r="Y25" s="275">
        <f>'26'!Y26</f>
      </c>
      <c r="Z25" s="275">
        <f>'26'!Z26</f>
      </c>
      <c r="AA25" s="275">
        <f>'26'!AA26</f>
      </c>
      <c r="AB25" s="275">
        <f>'26'!AB26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'26'!E28</f>
      </c>
      <c r="F28" s="233">
        <f>'26'!F28</f>
      </c>
      <c r="G28" s="233">
        <f>'26'!G28</f>
      </c>
      <c r="H28" s="233">
        <f>'26'!H28</f>
      </c>
      <c r="I28" s="234">
        <f>'26'!I28</f>
      </c>
      <c r="J28" s="234">
        <f>'26'!J28</f>
      </c>
      <c r="K28" s="234">
        <f>'26'!K28</f>
      </c>
      <c r="L28" s="234">
        <f>'26'!L28</f>
      </c>
      <c r="M28" s="234">
        <f>'26'!M28</f>
      </c>
      <c r="N28" s="234">
        <f>'26'!N28</f>
      </c>
      <c r="O28" s="234">
        <f>'26'!O28</f>
      </c>
      <c r="P28" s="234">
        <f>'26'!P28</f>
      </c>
      <c r="Q28" s="234">
        <f>'26'!Q28</f>
      </c>
      <c r="R28" s="234">
        <f>'26'!R28</f>
      </c>
      <c r="S28" s="234">
        <f>'26'!S28</f>
      </c>
      <c r="T28" s="234">
        <f>'26'!T28</f>
      </c>
      <c r="U28" s="234">
        <f>'26'!U28</f>
      </c>
      <c r="V28" s="234">
        <f>'26'!V28</f>
      </c>
      <c r="W28" s="234">
        <f>'26'!W28</f>
      </c>
      <c r="X28" s="234">
        <f>'26'!X28</f>
      </c>
      <c r="Y28" s="234">
        <f>'26'!Y28</f>
      </c>
      <c r="Z28" s="234">
        <f>'26'!Z28</f>
      </c>
      <c r="AA28" s="234">
        <f>'26'!AA28</f>
      </c>
      <c r="AB28" s="234">
        <f>'26'!AB28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'26'!I33</f>
      </c>
      <c r="J32" s="275">
        <f>'26'!J33</f>
      </c>
      <c r="K32" s="275">
        <f>'26'!K33</f>
      </c>
      <c r="L32" s="275">
        <f>'26'!L33</f>
      </c>
      <c r="M32" s="275">
        <f>'26'!M33</f>
      </c>
      <c r="N32" s="275">
        <f>'26'!N33</f>
      </c>
      <c r="O32" s="275">
        <f>'26'!O33</f>
      </c>
      <c r="P32" s="275">
        <f>'26'!P33</f>
      </c>
      <c r="Q32" s="275">
        <f>'26'!Q33</f>
      </c>
      <c r="R32" s="275">
        <f>'26'!R33</f>
      </c>
      <c r="S32" s="275">
        <f>'26'!S33</f>
      </c>
      <c r="T32" s="275">
        <f>'26'!T33</f>
      </c>
      <c r="U32" s="275">
        <f>'26'!U33</f>
      </c>
      <c r="V32" s="275">
        <f>'26'!V33</f>
      </c>
      <c r="W32" s="275">
        <f>'26'!W33</f>
      </c>
      <c r="X32" s="275">
        <f>'26'!X33</f>
      </c>
      <c r="Y32" s="275">
        <f>'26'!Y33</f>
      </c>
      <c r="Z32" s="275">
        <f>'26'!Z33</f>
      </c>
      <c r="AA32" s="275">
        <f>'26'!AA33</f>
      </c>
      <c r="AB32" s="275">
        <f>'26'!AB33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'26'!I35</f>
      </c>
      <c r="J35" s="292">
        <f>'26'!J35</f>
      </c>
      <c r="K35" s="292">
        <f>'26'!K35</f>
      </c>
      <c r="L35" s="292">
        <f>'26'!L35</f>
      </c>
      <c r="M35" s="292">
        <f>'26'!M35</f>
      </c>
      <c r="N35" s="292">
        <f>'26'!N35</f>
      </c>
      <c r="O35" s="292">
        <f>'26'!O35</f>
      </c>
      <c r="P35" s="292">
        <f>'26'!P35</f>
      </c>
      <c r="Q35" s="292">
        <f>'26'!Q35</f>
      </c>
      <c r="R35" s="292">
        <f>'26'!R35</f>
      </c>
      <c r="S35" s="292">
        <f>'26'!S35</f>
      </c>
      <c r="T35" s="292">
        <f>'26'!T35</f>
      </c>
      <c r="U35" s="292">
        <f>'26'!U35</f>
      </c>
      <c r="V35" s="292">
        <f>'26'!V35</f>
      </c>
      <c r="W35" s="292">
        <f>'26'!W35</f>
      </c>
      <c r="X35" s="292">
        <f>'26'!X35</f>
      </c>
      <c r="Y35" s="292">
        <f>'26'!Y35</f>
      </c>
      <c r="Z35" s="292">
        <f>'26'!Z35</f>
      </c>
      <c r="AA35" s="292">
        <f>'26'!AA35</f>
      </c>
      <c r="AB35" s="292">
        <f>'26'!AB35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330</v>
      </c>
      <c r="D37" s="454"/>
      <c r="E37" s="454"/>
      <c r="F37" s="341">
        <f>F36+'26'!F37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L7+'26'!F41:G41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F16+'26'!F42:G42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F17+'26'!F43:G43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L12+'26'!F44:G44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Z30+'26'!F45:G45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Z9+'26'!F46:G46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(F45-F46)+'26'!F47:G47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F31+'26'!F48:G48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F15+'26'!F49:G49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(128.55+29.42+665.77)/7++'26'!F50:G50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Z10+'26'!F51:G51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F18+'26'!F52:G52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(F7-Z9)+'26'!F53:G53</f>
      </c>
      <c r="G53" s="385"/>
      <c r="I53" t="s" s="441">
        <v>331</v>
      </c>
      <c r="J53" s="420"/>
      <c r="K53" s="420"/>
      <c r="L53" s="238"/>
      <c r="M53" s="418">
        <f>L53+'26'!M53:P53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L54+'26'!M54:P54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L55+'26'!M55:P55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L56+'26'!M56:P56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L57+'26'!M57:P57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L58+'26'!M58:P58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L59+'26'!M59:P59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L60+'26'!M60:P60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L61+'26'!M61:P61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L62+'26'!M62:P62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L63+'26'!M63:P63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F6B8-CCD7-428B-9ED3-7ED21C6CB9A7}">
  <sheetPr codeName="Sheet39"/>
  <sheetViews>
    <sheetView topLeftCell="B1"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'27'!E3+1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'27'!O5:Q5</f>
      </c>
      <c r="P5" s="609"/>
      <c r="Q5" s="609"/>
      <c r="R5" s="263"/>
      <c r="S5" s="609">
        <f>'27'!S5:U5</f>
      </c>
      <c r="T5" s="609"/>
      <c r="U5" s="609"/>
      <c r="V5" s="263"/>
      <c r="W5" s="609">
        <f>'27'!W5:Y5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'27'!E24</f>
      </c>
      <c r="F23" s="311">
        <f>'27'!F24</f>
      </c>
      <c r="G23" s="311">
        <f>'27'!G24</f>
      </c>
      <c r="H23" s="311">
        <f>'27'!H24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'27'!E26</f>
      </c>
      <c r="F25" s="257">
        <f>'27'!F26</f>
      </c>
      <c r="G25" s="257">
        <f>'27'!G26</f>
      </c>
      <c r="H25" s="257">
        <f>'27'!H26</f>
      </c>
      <c r="I25" s="275">
        <f>'27'!I26</f>
      </c>
      <c r="J25" s="275">
        <f>'27'!J26</f>
      </c>
      <c r="K25" s="275">
        <f>'27'!K26</f>
      </c>
      <c r="L25" s="275">
        <f>'27'!L26</f>
      </c>
      <c r="M25" s="275">
        <f>'27'!M26</f>
      </c>
      <c r="N25" s="275">
        <f>'27'!N26</f>
      </c>
      <c r="O25" s="275">
        <f>'27'!O26</f>
      </c>
      <c r="P25" s="275">
        <f>'27'!P26</f>
      </c>
      <c r="Q25" s="275">
        <f>'27'!Q26</f>
      </c>
      <c r="R25" s="275">
        <f>'27'!R26</f>
      </c>
      <c r="S25" s="275">
        <f>'27'!S26</f>
      </c>
      <c r="T25" s="275">
        <f>'27'!T26</f>
      </c>
      <c r="U25" s="275">
        <f>'27'!U26</f>
      </c>
      <c r="V25" s="275">
        <f>'27'!V26</f>
      </c>
      <c r="W25" s="275">
        <f>'27'!W26</f>
      </c>
      <c r="X25" s="275">
        <f>'27'!X26</f>
      </c>
      <c r="Y25" s="275">
        <f>'27'!Y26</f>
      </c>
      <c r="Z25" s="275">
        <f>'27'!Z26</f>
      </c>
      <c r="AA25" s="275">
        <f>'27'!AA26</f>
      </c>
      <c r="AB25" s="275">
        <f>'27'!AB26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'27'!E28</f>
      </c>
      <c r="F28" s="233">
        <f>'27'!F28</f>
      </c>
      <c r="G28" s="233">
        <f>'27'!G28</f>
      </c>
      <c r="H28" s="233">
        <f>'27'!H28</f>
      </c>
      <c r="I28" s="234">
        <f>'27'!I28</f>
      </c>
      <c r="J28" s="234">
        <f>'27'!J28</f>
      </c>
      <c r="K28" s="234">
        <f>'27'!K28</f>
      </c>
      <c r="L28" s="234">
        <f>'27'!L28</f>
      </c>
      <c r="M28" s="234">
        <f>'27'!M28</f>
      </c>
      <c r="N28" s="234">
        <f>'27'!N28</f>
      </c>
      <c r="O28" s="234">
        <f>'27'!O28</f>
      </c>
      <c r="P28" s="234">
        <f>'27'!P28</f>
      </c>
      <c r="Q28" s="234">
        <f>'27'!Q28</f>
      </c>
      <c r="R28" s="234">
        <f>'27'!R28</f>
      </c>
      <c r="S28" s="234">
        <f>'27'!S28</f>
      </c>
      <c r="T28" s="234">
        <f>'27'!T28</f>
      </c>
      <c r="U28" s="234">
        <f>'27'!U28</f>
      </c>
      <c r="V28" s="234">
        <f>'27'!V28</f>
      </c>
      <c r="W28" s="234">
        <f>'27'!W28</f>
      </c>
      <c r="X28" s="234">
        <f>'27'!X28</f>
      </c>
      <c r="Y28" s="234">
        <f>'27'!Y28</f>
      </c>
      <c r="Z28" s="234">
        <f>'27'!Z28</f>
      </c>
      <c r="AA28" s="234">
        <f>'27'!AA28</f>
      </c>
      <c r="AB28" s="234">
        <f>'27'!AB28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'27'!I33</f>
      </c>
      <c r="J32" s="275">
        <f>'27'!J33</f>
      </c>
      <c r="K32" s="275">
        <f>'27'!K33</f>
      </c>
      <c r="L32" s="275">
        <f>'27'!L33</f>
      </c>
      <c r="M32" s="275">
        <f>'27'!M33</f>
      </c>
      <c r="N32" s="275">
        <f>'27'!N33</f>
      </c>
      <c r="O32" s="275">
        <f>'27'!O33</f>
      </c>
      <c r="P32" s="275">
        <f>'27'!P33</f>
      </c>
      <c r="Q32" s="275">
        <f>'27'!Q33</f>
      </c>
      <c r="R32" s="275">
        <f>'27'!R33</f>
      </c>
      <c r="S32" s="275">
        <f>'27'!S33</f>
      </c>
      <c r="T32" s="275">
        <f>'27'!T33</f>
      </c>
      <c r="U32" s="275">
        <f>'27'!U33</f>
      </c>
      <c r="V32" s="275">
        <f>'27'!V33</f>
      </c>
      <c r="W32" s="275">
        <f>'27'!W33</f>
      </c>
      <c r="X32" s="275">
        <f>'27'!X33</f>
      </c>
      <c r="Y32" s="275">
        <f>'27'!Y33</f>
      </c>
      <c r="Z32" s="275">
        <f>'27'!Z33</f>
      </c>
      <c r="AA32" s="275">
        <f>'27'!AA33</f>
      </c>
      <c r="AB32" s="275">
        <f>'27'!AB33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'27'!I35</f>
      </c>
      <c r="J35" s="292">
        <f>'27'!J35</f>
      </c>
      <c r="K35" s="292">
        <f>'27'!K35</f>
      </c>
      <c r="L35" s="292">
        <f>'27'!L35</f>
      </c>
      <c r="M35" s="292">
        <f>'27'!M35</f>
      </c>
      <c r="N35" s="292">
        <f>'27'!N35</f>
      </c>
      <c r="O35" s="292">
        <f>'27'!O35</f>
      </c>
      <c r="P35" s="292">
        <f>'27'!P35</f>
      </c>
      <c r="Q35" s="292">
        <f>'27'!Q35</f>
      </c>
      <c r="R35" s="292">
        <f>'27'!R35</f>
      </c>
      <c r="S35" s="292">
        <f>'27'!S35</f>
      </c>
      <c r="T35" s="292">
        <f>'27'!T35</f>
      </c>
      <c r="U35" s="292">
        <f>'27'!U35</f>
      </c>
      <c r="V35" s="292">
        <f>'27'!V35</f>
      </c>
      <c r="W35" s="292">
        <f>'27'!W35</f>
      </c>
      <c r="X35" s="292">
        <f>'27'!X35</f>
      </c>
      <c r="Y35" s="292">
        <f>'27'!Y35</f>
      </c>
      <c r="Z35" s="292">
        <f>'27'!Z35</f>
      </c>
      <c r="AA35" s="292">
        <f>'27'!AA35</f>
      </c>
      <c r="AB35" s="292">
        <f>'27'!AB35</f>
      </c>
    </row>
    <row r="36" spans="3:28" s="199" customFormat="1" ht="15" customHeight="1" thickBot="1" x14ac:dyDescent="0.35">
      <c r="C36" t="s" s="649">
        <v>263</v>
      </c>
      <c r="D36" s="650"/>
      <c r="E36" s="651"/>
      <c r="F36" s="262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330</v>
      </c>
      <c r="D37" s="454"/>
      <c r="E37" s="454"/>
      <c r="F37" s="341">
        <f>F36+'27'!F37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L7+'27'!F41:G41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F16+'27'!F42:G42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F17+'27'!F43:G43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L12+'27'!F44:G44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Z30+'27'!F45:G45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Z9+'27'!F46:G46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(F45-F46)+'27'!F47:G47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F31+'27'!F48:G48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F15+'27'!F49:G49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(128.55+29.42+665.77)/7++'27'!F50:G50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Z10+'27'!F51:G51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F18+'27'!F52:G52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(F7-Z9)+'27'!F53:G53</f>
      </c>
      <c r="G53" s="385"/>
      <c r="I53" t="s" s="441">
        <v>331</v>
      </c>
      <c r="J53" s="420"/>
      <c r="K53" s="420"/>
      <c r="L53" s="238"/>
      <c r="M53" s="418">
        <f>L53+'27'!M53:P53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L54+'27'!M54:P54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L55+'27'!M55:P55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L56+'27'!M56:P56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L57+'27'!M57:P57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L58+'27'!M58:P58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L59+'27'!M59:P59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L60+'27'!M60:P60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L61+'27'!M61:P61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L62+'27'!M62:P62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L63+'27'!M63:P63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2259-2DE1-46C2-A6BC-A5E5E9C0B9A7}">
  <sheetPr codeName="Sheet40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'28'!E3+1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'28'!O5:Q5</f>
      </c>
      <c r="P5" s="609"/>
      <c r="Q5" s="609"/>
      <c r="R5" s="263"/>
      <c r="S5" s="609">
        <f>'28'!S5:U5</f>
      </c>
      <c r="T5" s="609"/>
      <c r="U5" s="609"/>
      <c r="V5" s="263"/>
      <c r="W5" s="609">
        <f>'28'!W5:Y5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'28'!E24</f>
      </c>
      <c r="F23" s="311">
        <f>'28'!F24</f>
      </c>
      <c r="G23" s="311">
        <f>'28'!G24</f>
      </c>
      <c r="H23" s="311">
        <f>'28'!H24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'28'!E26</f>
      </c>
      <c r="F25" s="257">
        <f>'28'!F26</f>
      </c>
      <c r="G25" s="257">
        <f>'28'!G26</f>
      </c>
      <c r="H25" s="257">
        <f>'28'!H26</f>
      </c>
      <c r="I25" s="275">
        <f>'28'!I26</f>
      </c>
      <c r="J25" s="275">
        <f>'28'!J26</f>
      </c>
      <c r="K25" s="275">
        <f>'28'!K26</f>
      </c>
      <c r="L25" s="275">
        <f>'28'!L26</f>
      </c>
      <c r="M25" s="275">
        <f>'28'!M26</f>
      </c>
      <c r="N25" s="275">
        <f>'28'!N26</f>
      </c>
      <c r="O25" s="275">
        <f>'28'!O26</f>
      </c>
      <c r="P25" s="275">
        <f>'28'!P26</f>
      </c>
      <c r="Q25" s="275">
        <f>'28'!Q26</f>
      </c>
      <c r="R25" s="275">
        <f>'28'!R26</f>
      </c>
      <c r="S25" s="275">
        <f>'28'!S26</f>
      </c>
      <c r="T25" s="275">
        <f>'28'!T26</f>
      </c>
      <c r="U25" s="275">
        <f>'28'!U26</f>
      </c>
      <c r="V25" s="275">
        <f>'28'!V26</f>
      </c>
      <c r="W25" s="275">
        <f>'28'!W26</f>
      </c>
      <c r="X25" s="275">
        <f>'28'!X26</f>
      </c>
      <c r="Y25" s="275">
        <f>'28'!Y26</f>
      </c>
      <c r="Z25" s="275">
        <f>'28'!Z26</f>
      </c>
      <c r="AA25" s="275">
        <f>'28'!AA26</f>
      </c>
      <c r="AB25" s="275">
        <f>'28'!AB26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'28'!E28</f>
      </c>
      <c r="F28" s="233">
        <f>'28'!F28</f>
      </c>
      <c r="G28" s="233">
        <f>'28'!G28</f>
      </c>
      <c r="H28" s="233">
        <f>'28'!H28</f>
      </c>
      <c r="I28" s="234">
        <f>'28'!I28</f>
      </c>
      <c r="J28" s="234">
        <f>'28'!J28</f>
      </c>
      <c r="K28" s="234">
        <f>'28'!K28</f>
      </c>
      <c r="L28" s="234">
        <f>'28'!L28</f>
      </c>
      <c r="M28" s="234">
        <f>'28'!M28</f>
      </c>
      <c r="N28" s="234">
        <f>'28'!N28</f>
      </c>
      <c r="O28" s="234">
        <f>'28'!O28</f>
      </c>
      <c r="P28" s="234">
        <f>'28'!P28</f>
      </c>
      <c r="Q28" s="234">
        <f>'28'!Q28</f>
      </c>
      <c r="R28" s="234">
        <f>'28'!R28</f>
      </c>
      <c r="S28" s="234">
        <f>'28'!S28</f>
      </c>
      <c r="T28" s="234">
        <f>'28'!T28</f>
      </c>
      <c r="U28" s="234">
        <f>'28'!U28</f>
      </c>
      <c r="V28" s="234">
        <f>'28'!V28</f>
      </c>
      <c r="W28" s="234">
        <f>'28'!W28</f>
      </c>
      <c r="X28" s="234">
        <f>'28'!X28</f>
      </c>
      <c r="Y28" s="234">
        <f>'28'!Y28</f>
      </c>
      <c r="Z28" s="234">
        <f>'28'!Z28</f>
      </c>
      <c r="AA28" s="234">
        <f>'28'!AA28</f>
      </c>
      <c r="AB28" s="234">
        <f>'28'!AB28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'28'!I33</f>
      </c>
      <c r="J32" s="275">
        <f>'28'!J33</f>
      </c>
      <c r="K32" s="275">
        <f>'28'!K33</f>
      </c>
      <c r="L32" s="275">
        <f>'28'!L33</f>
      </c>
      <c r="M32" s="275">
        <f>'28'!M33</f>
      </c>
      <c r="N32" s="275">
        <f>'28'!N33</f>
      </c>
      <c r="O32" s="275">
        <f>'28'!O33</f>
      </c>
      <c r="P32" s="275">
        <f>'28'!P33</f>
      </c>
      <c r="Q32" s="275">
        <f>'28'!Q33</f>
      </c>
      <c r="R32" s="275">
        <f>'28'!R33</f>
      </c>
      <c r="S32" s="275">
        <f>'28'!S33</f>
      </c>
      <c r="T32" s="275">
        <f>'28'!T33</f>
      </c>
      <c r="U32" s="275">
        <f>'28'!U33</f>
      </c>
      <c r="V32" s="275">
        <f>'28'!V33</f>
      </c>
      <c r="W32" s="275">
        <f>'28'!W33</f>
      </c>
      <c r="X32" s="275">
        <f>'28'!X33</f>
      </c>
      <c r="Y32" s="275">
        <f>'28'!Y33</f>
      </c>
      <c r="Z32" s="275">
        <f>'28'!Z33</f>
      </c>
      <c r="AA32" s="275">
        <f>'28'!AA33</f>
      </c>
      <c r="AB32" s="275">
        <f>'28'!AB33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'28'!I35</f>
      </c>
      <c r="J35" s="292">
        <f>'28'!J35</f>
      </c>
      <c r="K35" s="292">
        <f>'28'!K35</f>
      </c>
      <c r="L35" s="292">
        <f>'28'!L35</f>
      </c>
      <c r="M35" s="292">
        <f>'28'!M35</f>
      </c>
      <c r="N35" s="292">
        <f>'28'!N35</f>
      </c>
      <c r="O35" s="292">
        <f>'28'!O35</f>
      </c>
      <c r="P35" s="292">
        <f>'28'!P35</f>
      </c>
      <c r="Q35" s="292">
        <f>'28'!Q35</f>
      </c>
      <c r="R35" s="292">
        <f>'28'!R35</f>
      </c>
      <c r="S35" s="292">
        <f>'28'!S35</f>
      </c>
      <c r="T35" s="292">
        <f>'28'!T35</f>
      </c>
      <c r="U35" s="292">
        <f>'28'!U35</f>
      </c>
      <c r="V35" s="292">
        <f>'28'!V35</f>
      </c>
      <c r="W35" s="292">
        <f>'28'!W35</f>
      </c>
      <c r="X35" s="292">
        <f>'28'!X35</f>
      </c>
      <c r="Y35" s="292">
        <f>'28'!Y35</f>
      </c>
      <c r="Z35" s="292">
        <f>'28'!Z35</f>
      </c>
      <c r="AA35" s="292">
        <f>'28'!AA35</f>
      </c>
      <c r="AB35" s="292">
        <f>'28'!AB35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F36+'28'!F37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L7+'28'!F41:G41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F16+'28'!F42:G42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F17+'28'!F43:G43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L12+'28'!F44:G44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Z30+'28'!F45:G45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Z9+'28'!F46:G46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(F45-F46)+'28'!F47:G47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F31+'28'!F48:G48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F15+'28'!F49:G49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(128.55+29.42+665.77)/7++'28'!F50:G50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Z10+'28'!F51:G51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F18+'28'!F52:G52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(F7-Z9)+'28'!F53:G53</f>
      </c>
      <c r="G53" s="385"/>
      <c r="I53" t="s" s="441">
        <v>275</v>
      </c>
      <c r="J53" s="420"/>
      <c r="K53" s="420"/>
      <c r="L53" s="238"/>
      <c r="M53" s="418">
        <f>L53+'28'!M53:P53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L54+'28'!M54:P54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L55+'28'!M55:P55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L56+'28'!M56:P56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L57+'27'!M57:P57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L58+'28'!M58:P58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L59+'28'!M59:P59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L60+'28'!M60:P60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L61+'28'!M61:P61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L62+'28'!M62:P62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L63+'28'!M63:P63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8E7B-5CFE-4235-BBBE-12B2A75FB9A7}">
  <sheetPr codeName="Sheet41"/>
  <sheetViews>
    <sheetView workbookViewId="0">
      <selection activeCell="L19" sqref="L19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'29'!E3+1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'29'!O5:Q5</f>
      </c>
      <c r="P5" s="609"/>
      <c r="Q5" s="609"/>
      <c r="R5" s="263"/>
      <c r="S5" s="609">
        <f>'29'!S5:U5</f>
      </c>
      <c r="T5" s="609"/>
      <c r="U5" s="609"/>
      <c r="V5" s="263"/>
      <c r="W5" s="609">
        <f>'29'!W5:Y5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369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2384.96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358.82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124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117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7.73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685.19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84.37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151</v>
      </c>
      <c r="F12" t="s" s="206">
        <v>16</v>
      </c>
      <c r="G12" s="210">
        <f>D11/E12</f>
      </c>
      <c r="H12" t="s" s="211">
        <v>20</v>
      </c>
      <c r="I12" s="620">
        <v>371.27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109.56</v>
      </c>
      <c r="E13" s="555"/>
      <c r="F13" t="s" s="202">
        <v>13</v>
      </c>
      <c r="G13" s="203">
        <f>W5</f>
      </c>
      <c r="H13" t="s" s="212">
        <v>22</v>
      </c>
      <c r="I13" s="620">
        <v>493.33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46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1346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778.02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1023.38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84.37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8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'29'!E24</f>
      </c>
      <c r="F23" s="311">
        <f>'29'!F24</f>
      </c>
      <c r="G23" s="311">
        <f>'29'!G24</f>
      </c>
      <c r="H23" s="311">
        <f>'29'!H24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'29'!E26</f>
      </c>
      <c r="F25" s="257">
        <f>'29'!F26</f>
      </c>
      <c r="G25" s="257">
        <f>'29'!G26</f>
      </c>
      <c r="H25" s="257">
        <f>'29'!H26</f>
      </c>
      <c r="I25" s="275">
        <f>'29'!I26</f>
      </c>
      <c r="J25" s="275">
        <f>'29'!J26</f>
      </c>
      <c r="K25" s="275">
        <f>'29'!K26</f>
      </c>
      <c r="L25" s="275">
        <f>'29'!L26</f>
      </c>
      <c r="M25" s="275">
        <f>'29'!M26</f>
      </c>
      <c r="N25" s="275">
        <f>'29'!N26</f>
      </c>
      <c r="O25" s="275">
        <f>'29'!O26</f>
      </c>
      <c r="P25" s="275">
        <f>'29'!P26</f>
      </c>
      <c r="Q25" s="275">
        <f>'29'!Q26</f>
      </c>
      <c r="R25" s="275">
        <f>'29'!R26</f>
      </c>
      <c r="S25" s="275">
        <f>'29'!S26</f>
      </c>
      <c r="T25" s="275">
        <f>'29'!T26</f>
      </c>
      <c r="U25" s="275">
        <f>'29'!U26</f>
      </c>
      <c r="V25" s="275">
        <f>'29'!V26</f>
      </c>
      <c r="W25" s="275">
        <f>'29'!W26</f>
      </c>
      <c r="X25" s="275">
        <f>'29'!X26</f>
      </c>
      <c r="Y25" s="275">
        <f>'29'!Y26</f>
      </c>
      <c r="Z25" s="275">
        <f>'29'!Z26</f>
      </c>
      <c r="AA25" s="275">
        <f>'29'!AA26</f>
      </c>
      <c r="AB25" s="275">
        <f>'29'!AB26</f>
      </c>
    </row>
    <row r="26" spans="3:28" s="199" customFormat="1" ht="12" x14ac:dyDescent="0.3">
      <c r="C26" t="s" s="680">
        <v>42</v>
      </c>
      <c r="D26" s="681"/>
      <c r="E26" s="5">
        <v>99942.575</v>
      </c>
      <c r="F26" s="6">
        <v>483912.292</v>
      </c>
      <c r="G26" s="6">
        <v>23490.402</v>
      </c>
      <c r="H26" s="7">
        <v>20502.849</v>
      </c>
      <c r="I26" s="276">
        <v>14</v>
      </c>
      <c r="J26" s="277">
        <v>11</v>
      </c>
      <c r="K26" s="277">
        <v>65</v>
      </c>
      <c r="L26" s="278">
        <v>13</v>
      </c>
      <c r="M26" s="276">
        <v>48</v>
      </c>
      <c r="N26" s="277">
        <v>100</v>
      </c>
      <c r="O26" s="277">
        <v>43</v>
      </c>
      <c r="P26" s="278">
        <v>60</v>
      </c>
      <c r="Q26" s="276">
        <v>35</v>
      </c>
      <c r="R26" s="277">
        <v>2</v>
      </c>
      <c r="S26" s="277">
        <v>55</v>
      </c>
      <c r="T26" s="278">
        <v>9</v>
      </c>
      <c r="U26" s="276">
        <v>8</v>
      </c>
      <c r="V26" s="277">
        <v>29</v>
      </c>
      <c r="W26" s="277">
        <v>74</v>
      </c>
      <c r="X26" s="278">
        <v>40</v>
      </c>
      <c r="Y26" s="276">
        <v>65</v>
      </c>
      <c r="Z26" s="277">
        <v>41</v>
      </c>
      <c r="AA26" s="277">
        <v>29</v>
      </c>
      <c r="AB26" s="278">
        <v>57</v>
      </c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'29'!E28</f>
      </c>
      <c r="F28" s="233">
        <f>'29'!F28</f>
      </c>
      <c r="G28" s="233">
        <f>'29'!G28</f>
      </c>
      <c r="H28" s="233">
        <f>'29'!H28</f>
      </c>
      <c r="I28" s="234">
        <f>'29'!I28</f>
      </c>
      <c r="J28" s="234">
        <f>'29'!J28</f>
      </c>
      <c r="K28" s="234">
        <f>'29'!K28</f>
      </c>
      <c r="L28" s="234">
        <f>'29'!L28</f>
      </c>
      <c r="M28" s="234">
        <f>'29'!M28</f>
      </c>
      <c r="N28" s="234">
        <f>'29'!N28</f>
      </c>
      <c r="O28" s="234">
        <f>'29'!O28</f>
      </c>
      <c r="P28" s="234">
        <f>'29'!P28</f>
      </c>
      <c r="Q28" s="234">
        <f>'29'!Q28</f>
      </c>
      <c r="R28" s="234">
        <f>'29'!R28</f>
      </c>
      <c r="S28" s="234">
        <f>'29'!S28</f>
      </c>
      <c r="T28" s="234">
        <f>'29'!T28</f>
      </c>
      <c r="U28" s="234">
        <f>'29'!U28</f>
      </c>
      <c r="V28" s="234">
        <f>'29'!V28</f>
      </c>
      <c r="W28" s="234">
        <f>'29'!W28</f>
      </c>
      <c r="X28" s="234">
        <f>'29'!X28</f>
      </c>
      <c r="Y28" s="234">
        <f>'29'!Y28</f>
      </c>
      <c r="Z28" s="234">
        <f>'29'!Z28</f>
      </c>
      <c r="AA28" s="234">
        <f>'29'!AA28</f>
      </c>
      <c r="AB28" s="234">
        <f>'29'!AB28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>
        <v>38.5</v>
      </c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'29'!I33</f>
      </c>
      <c r="J32" s="275">
        <f>'29'!J33</f>
      </c>
      <c r="K32" s="275">
        <f>'29'!K33</f>
      </c>
      <c r="L32" s="275">
        <f>'29'!L33</f>
      </c>
      <c r="M32" s="275">
        <f>'29'!M33</f>
      </c>
      <c r="N32" s="275">
        <f>'29'!N33</f>
      </c>
      <c r="O32" s="275">
        <f>'29'!O33</f>
      </c>
      <c r="P32" s="275">
        <f>'29'!P33</f>
      </c>
      <c r="Q32" s="275">
        <f>'29'!Q33</f>
      </c>
      <c r="R32" s="275">
        <f>'29'!R33</f>
      </c>
      <c r="S32" s="275">
        <f>'29'!S33</f>
      </c>
      <c r="T32" s="275">
        <f>'29'!T33</f>
      </c>
      <c r="U32" s="275">
        <f>'29'!U33</f>
      </c>
      <c r="V32" s="275">
        <f>'29'!V33</f>
      </c>
      <c r="W32" s="275">
        <f>'29'!W33</f>
      </c>
      <c r="X32" s="275">
        <f>'29'!X33</f>
      </c>
      <c r="Y32" s="275">
        <f>'29'!Y33</f>
      </c>
      <c r="Z32" s="275">
        <f>'29'!Z33</f>
      </c>
      <c r="AA32" s="275">
        <f>'29'!AA33</f>
      </c>
      <c r="AB32" s="275">
        <f>'29'!AB33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>
        <v>20</v>
      </c>
      <c r="J33" s="284">
        <v>70</v>
      </c>
      <c r="K33" s="284">
        <v>33</v>
      </c>
      <c r="L33" s="285">
        <v>41</v>
      </c>
      <c r="M33" s="285">
        <v>50</v>
      </c>
      <c r="N33" s="285">
        <v>13</v>
      </c>
      <c r="O33" s="285">
        <v>24</v>
      </c>
      <c r="P33" s="285">
        <v>9</v>
      </c>
      <c r="Q33" s="285">
        <v>9</v>
      </c>
      <c r="R33" s="286">
        <v>9</v>
      </c>
      <c r="S33" s="283">
        <v>21</v>
      </c>
      <c r="T33" s="284">
        <v>115</v>
      </c>
      <c r="U33" s="284">
        <v>0</v>
      </c>
      <c r="V33" s="285">
        <v>11</v>
      </c>
      <c r="W33" s="285">
        <v>1</v>
      </c>
      <c r="X33" s="285">
        <v>17</v>
      </c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521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576</v>
      </c>
      <c r="G35" s="220"/>
      <c r="I35" s="292">
        <f>'29'!I35</f>
      </c>
      <c r="J35" s="292">
        <f>'29'!J35</f>
      </c>
      <c r="K35" s="292">
        <f>'29'!K35</f>
      </c>
      <c r="L35" s="292">
        <f>'29'!L35</f>
      </c>
      <c r="M35" s="292">
        <f>'29'!M35</f>
      </c>
      <c r="N35" s="292">
        <f>'29'!N35</f>
      </c>
      <c r="O35" s="292">
        <f>'29'!O35</f>
      </c>
      <c r="P35" s="292">
        <f>'29'!P35</f>
      </c>
      <c r="Q35" s="292">
        <f>'29'!Q35</f>
      </c>
      <c r="R35" s="292">
        <f>'29'!R35</f>
      </c>
      <c r="S35" s="292">
        <f>'29'!S35</f>
      </c>
      <c r="T35" s="292">
        <f>'29'!T35</f>
      </c>
      <c r="U35" s="292">
        <f>'29'!U35</f>
      </c>
      <c r="V35" s="292">
        <f>'29'!V35</f>
      </c>
      <c r="W35" s="292">
        <f>'29'!W35</f>
      </c>
      <c r="X35" s="292">
        <f>'29'!X35</f>
      </c>
      <c r="Y35" s="292">
        <f>'29'!Y35</f>
      </c>
      <c r="Z35" s="292">
        <f>'29'!Z35</f>
      </c>
      <c r="AA35" s="292">
        <f>'29'!AA35</f>
      </c>
      <c r="AB35" s="292">
        <f>'29'!AB35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332</v>
      </c>
      <c r="D37" s="454"/>
      <c r="E37" s="454"/>
      <c r="F37" s="341">
        <f>F36+'29'!F37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L7+'29'!F41:G41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F16+'29'!F42:G42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F17+'29'!F43:G43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L12+'29'!F44:G44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Z30+'29'!F45:G45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Z9+'29'!F46:G46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(F45-F46)+'29'!F47:G47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F31+'29'!F48:G48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F15+'29'!F49:G49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(128.55+29.42+665.77)/7++'29'!F50:G50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Z10+'29'!F51:G51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F18+'29'!F52:G52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(F7-Z9)+'29'!F53:G53</f>
      </c>
      <c r="G53" s="385"/>
      <c r="I53" t="s" s="441">
        <v>331</v>
      </c>
      <c r="J53" s="420"/>
      <c r="K53" s="420"/>
      <c r="L53" s="238"/>
      <c r="M53" s="418">
        <f>L53+'29'!M53:P53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L54+'29'!M54:P54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418">
        <f>L55+'29'!M55:P55</f>
      </c>
      <c r="N55" s="418"/>
      <c r="O55" s="418"/>
      <c r="P55" s="419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L56+'29'!M56:P56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L57+'29'!M57:P57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L58+'29'!M58:P58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L59+'29'!M59:P59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L60+'29'!M60:P60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L61+'29'!M61:P61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L62+'29'!M62:P62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L63+'29'!M63:P63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I62:K62"/>
    <mergeCell ref="M62:P62"/>
    <mergeCell ref="I63:K63"/>
    <mergeCell ref="M63:P63"/>
    <mergeCell ref="M64:P64"/>
    <mergeCell ref="C52:E52"/>
    <mergeCell ref="F52:G52"/>
    <mergeCell ref="C53:E53"/>
    <mergeCell ref="F53:G53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BA1C-FAAA-4581-8974-B9BE7717B9A7}">
  <sheetPr codeName="Sheet42"/>
  <sheetViews>
    <sheetView tabSelected="1" topLeftCell="A22" workbookViewId="0">
      <selection activeCell="AG45" sqref="AG45"/>
    </sheetView>
  </sheetViews>
  <sheetFormatPr defaultColWidth="9.1796875" defaultRowHeight="14.5" x14ac:dyDescent="0.35"/>
  <cols>
    <col min="1" max="1" width="1" customWidth="1"/>
    <col min="2" max="2" width="1.26953125" customWidth="1"/>
    <col min="3" max="4" width="3.453125" customWidth="1"/>
    <col min="5" max="5" width="9" customWidth="1"/>
    <col min="6" max="6" width="9.54296875" customWidth="1"/>
    <col min="7" max="7" width="6.26953125" customWidth="1"/>
    <col min="8" max="8" width="6.7265625" customWidth="1"/>
    <col min="9" max="9" width="3.54296875" customWidth="1"/>
    <col min="10" max="10" width="3.7265625" customWidth="1"/>
    <col min="11" max="11" width="7.7265625" customWidth="1"/>
    <col min="12" max="12" width="8.26953125" customWidth="1"/>
    <col min="13" max="18" width="3.7265625" customWidth="1"/>
    <col min="19" max="19" width="3.1796875" customWidth="1"/>
    <col min="20" max="24" width="3.7265625" customWidth="1"/>
    <col min="25" max="25" width="3.1796875" customWidth="1"/>
    <col min="26" max="26" width="2.81640625" customWidth="1"/>
    <col min="27" max="27" width="3" customWidth="1"/>
    <col min="28" max="28" width="3.453125" customWidth="1"/>
  </cols>
  <sheetData>
    <row r="1" spans="3:28" s="199" customFormat="1" ht="20.25" customHeight="1" thickBot="1" x14ac:dyDescent="0.35">
      <c r="G1" t="s" s="599">
        <v>337</v>
      </c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1"/>
    </row>
    <row r="2" spans="3:28" s="199" customFormat="1" ht="18.75" customHeight="1" thickBot="1" x14ac:dyDescent="0.35"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3:28" s="199" customFormat="1" ht="19.5" customHeight="1" thickBot="1" x14ac:dyDescent="0.35">
      <c r="C3" t="s" s="605">
        <v>0</v>
      </c>
      <c r="D3" s="606"/>
      <c r="E3" s="267">
        <f>'30'!E3+1</f>
      </c>
      <c r="F3" s="274"/>
      <c r="G3" s="274"/>
      <c r="H3" s="200"/>
    </row>
    <row r="4" spans="3:28" s="199" customFormat="1" ht="12.5" thickBot="1" x14ac:dyDescent="0.35"/>
    <row r="5" spans="3:28" s="199" customFormat="1" ht="15" thickBot="1" x14ac:dyDescent="0.35">
      <c r="C5" t="s" s="603">
        <v>1</v>
      </c>
      <c r="D5" s="604"/>
      <c r="E5" s="604"/>
      <c r="F5" s="604"/>
      <c r="G5" s="604"/>
      <c r="H5" s="604"/>
      <c r="I5" s="604"/>
      <c r="J5" s="604"/>
      <c r="K5" s="604"/>
      <c r="L5" t="s" s="607">
        <v>2</v>
      </c>
      <c r="M5" s="608"/>
      <c r="N5" s="608"/>
      <c r="O5" s="609">
        <f>'30'!O5:Q5</f>
      </c>
      <c r="P5" s="609"/>
      <c r="Q5" s="609"/>
      <c r="R5" s="263"/>
      <c r="S5" s="609">
        <f>'30'!S5:U5</f>
      </c>
      <c r="T5" s="609"/>
      <c r="U5" s="609"/>
      <c r="V5" s="263"/>
      <c r="W5" s="609">
        <f>'30'!W5:Y5</f>
      </c>
      <c r="X5" s="609"/>
      <c r="Y5" s="609"/>
      <c r="Z5" s="610"/>
      <c r="AA5" s="610"/>
      <c r="AB5" s="611"/>
    </row>
    <row r="6" spans="3:28" s="199" customFormat="1" ht="12" x14ac:dyDescent="0.3">
      <c r="C6" t="s" s="585">
        <v>3</v>
      </c>
      <c r="D6" s="586"/>
      <c r="E6" s="587"/>
      <c r="F6" s="588">
        <v>0</v>
      </c>
      <c r="G6" s="589"/>
      <c r="H6" t="s" s="585">
        <v>4</v>
      </c>
      <c r="I6" s="586"/>
      <c r="J6" s="586"/>
      <c r="K6" s="590"/>
      <c r="L6" s="591">
        <v>0</v>
      </c>
      <c r="M6" s="592"/>
      <c r="N6" s="592"/>
      <c r="O6" s="592"/>
      <c r="P6" s="592"/>
      <c r="Q6" s="592"/>
      <c r="R6" s="593"/>
      <c r="S6" t="s" s="594">
        <v>0</v>
      </c>
      <c r="T6" s="595"/>
      <c r="U6" s="595"/>
      <c r="V6" s="596">
        <f>E3</f>
      </c>
      <c r="W6" s="597"/>
      <c r="X6" s="597"/>
      <c r="Y6" s="597"/>
      <c r="Z6" s="597"/>
      <c r="AA6" s="597"/>
      <c r="AB6" s="598"/>
    </row>
    <row r="7" spans="3:28" s="199" customFormat="1" ht="12.5" thickBot="1" x14ac:dyDescent="0.35">
      <c r="C7" t="s" s="572">
        <v>5</v>
      </c>
      <c r="D7" s="573"/>
      <c r="E7" s="574"/>
      <c r="F7" s="575">
        <f>Z30</f>
      </c>
      <c r="G7" s="576"/>
      <c r="H7" t="s" s="577">
        <v>6</v>
      </c>
      <c r="I7" s="577"/>
      <c r="J7" s="577"/>
      <c r="K7" s="578"/>
      <c r="L7" s="579">
        <v>0</v>
      </c>
      <c r="M7" s="580"/>
      <c r="N7" s="580"/>
      <c r="O7" s="580"/>
      <c r="P7" s="580"/>
      <c r="Q7" s="580"/>
      <c r="R7" s="581"/>
      <c r="S7" t="s" s="582">
        <v>7</v>
      </c>
      <c r="T7" s="583"/>
      <c r="U7" s="583"/>
      <c r="V7" s="584">
        <f>VLOOKUP(WEEKDAY(E3),'Ref Cells'!$A:$B,2,0)</f>
      </c>
      <c r="W7" s="584"/>
      <c r="X7" s="584"/>
      <c r="Y7" s="584"/>
      <c r="Z7" s="556">
        <v>0.2916666666666667</v>
      </c>
      <c r="AA7" s="557"/>
      <c r="AB7" s="558"/>
    </row>
    <row r="8" spans="3:28" s="199" customFormat="1" ht="12.5" thickBot="1" x14ac:dyDescent="0.35">
      <c r="C8" t="s" s="559">
        <v>9</v>
      </c>
      <c r="D8" s="560"/>
      <c r="E8" s="561"/>
      <c r="F8" s="562">
        <f>SUM(E27:H27)</f>
      </c>
      <c r="G8" s="563"/>
      <c r="H8" t="s" s="564">
        <v>10</v>
      </c>
      <c r="I8" s="564"/>
      <c r="J8" s="564"/>
      <c r="K8" s="565"/>
      <c r="L8" s="566">
        <f>Z30-L6</f>
      </c>
      <c r="M8" s="567"/>
      <c r="N8" s="567"/>
      <c r="O8" s="567"/>
      <c r="P8" s="567"/>
      <c r="Q8" s="567"/>
      <c r="R8" s="568"/>
      <c r="S8" t="s" s="569">
        <v>11</v>
      </c>
      <c r="T8" s="570"/>
      <c r="U8" s="570"/>
      <c r="V8" s="570"/>
      <c r="W8" s="570"/>
      <c r="X8" s="570"/>
      <c r="Y8" s="570"/>
      <c r="Z8" s="570"/>
      <c r="AA8" s="570"/>
      <c r="AB8" s="571"/>
    </row>
    <row r="9" spans="3:28" s="199" customFormat="1" ht="16.5" customHeight="1" x14ac:dyDescent="0.3">
      <c r="C9" t="s" s="201">
        <v>12</v>
      </c>
      <c r="D9" s="554">
        <v>0</v>
      </c>
      <c r="E9" s="555"/>
      <c r="F9" t="s" s="202">
        <v>13</v>
      </c>
      <c r="G9" s="203">
        <f>O5</f>
      </c>
      <c r="H9" t="s" s="615">
        <v>14</v>
      </c>
      <c r="I9" s="394"/>
      <c r="J9" s="394"/>
      <c r="K9" s="616"/>
      <c r="L9" s="617">
        <v>0</v>
      </c>
      <c r="M9" s="618"/>
      <c r="N9" s="618"/>
      <c r="O9" s="618"/>
      <c r="P9" s="618"/>
      <c r="Q9" s="618"/>
      <c r="R9" s="619"/>
      <c r="S9" s="264">
        <v>1</v>
      </c>
      <c r="T9" t="s" s="391">
        <v>5</v>
      </c>
      <c r="U9" s="391"/>
      <c r="V9" s="391"/>
      <c r="W9" s="391"/>
      <c r="X9" s="391"/>
      <c r="Y9" s="391"/>
      <c r="Z9" s="392">
        <v>0</v>
      </c>
      <c r="AA9" s="392"/>
      <c r="AB9" s="393"/>
    </row>
    <row r="10" spans="3:28" s="199" customFormat="1" ht="15.75" customHeight="1" thickBot="1" x14ac:dyDescent="0.35">
      <c r="C10" t="s" s="546">
        <v>15</v>
      </c>
      <c r="D10" s="547"/>
      <c r="E10" s="205">
        <v>0</v>
      </c>
      <c r="F10" t="s" s="206">
        <v>16</v>
      </c>
      <c r="G10" s="207">
        <f>D9/E10</f>
      </c>
      <c r="H10" t="s" s="548">
        <v>17</v>
      </c>
      <c r="I10" s="549"/>
      <c r="J10" s="549"/>
      <c r="K10" s="550"/>
      <c r="L10" s="551">
        <f>L7+L8+L9</f>
      </c>
      <c r="M10" s="552"/>
      <c r="N10" s="552"/>
      <c r="O10" s="552"/>
      <c r="P10" s="552"/>
      <c r="Q10" s="552"/>
      <c r="R10" s="553"/>
      <c r="S10" s="258">
        <v>2</v>
      </c>
      <c r="T10" t="s" s="388">
        <v>240</v>
      </c>
      <c r="U10" s="388"/>
      <c r="V10" s="388"/>
      <c r="W10" s="388"/>
      <c r="X10" s="388"/>
      <c r="Y10" s="388"/>
      <c r="Z10" s="389">
        <v>0</v>
      </c>
      <c r="AA10" s="389"/>
      <c r="AB10" s="390"/>
    </row>
    <row r="11" spans="3:28" s="199" customFormat="1" ht="15.75" customHeight="1" x14ac:dyDescent="0.3">
      <c r="C11" t="s" s="201">
        <v>18</v>
      </c>
      <c r="D11" s="554">
        <v>0</v>
      </c>
      <c r="E11" s="555"/>
      <c r="F11" t="s" s="202">
        <v>13</v>
      </c>
      <c r="G11" s="203">
        <f>S5</f>
      </c>
      <c r="H11" t="s" s="549">
        <v>19</v>
      </c>
      <c r="I11" s="549"/>
      <c r="J11" s="549"/>
      <c r="K11" s="550"/>
      <c r="L11" s="612">
        <f>Z18</f>
      </c>
      <c r="M11" s="613"/>
      <c r="N11" s="613"/>
      <c r="O11" s="613"/>
      <c r="P11" s="613"/>
      <c r="Q11" s="613"/>
      <c r="R11" s="614"/>
      <c r="S11" s="258">
        <v>3</v>
      </c>
      <c r="T11" t="s" s="388">
        <v>217</v>
      </c>
      <c r="U11" s="388"/>
      <c r="V11" s="388"/>
      <c r="W11" s="388"/>
      <c r="X11" s="388"/>
      <c r="Y11" s="388"/>
      <c r="Z11" s="389">
        <v>0</v>
      </c>
      <c r="AA11" s="389"/>
      <c r="AB11" s="390"/>
    </row>
    <row r="12" spans="3:28" s="199" customFormat="1" ht="15" customHeight="1" thickBot="1" x14ac:dyDescent="0.35">
      <c r="C12" t="s" s="546">
        <v>15</v>
      </c>
      <c r="D12" s="547"/>
      <c r="E12" s="209">
        <v>0</v>
      </c>
      <c r="F12" t="s" s="206">
        <v>16</v>
      </c>
      <c r="G12" s="210">
        <f>D11/E12</f>
      </c>
      <c r="H12" t="s" s="211">
        <v>20</v>
      </c>
      <c r="I12" s="620">
        <v>0</v>
      </c>
      <c r="J12" s="621"/>
      <c r="K12" s="622"/>
      <c r="L12" s="551">
        <f>I12+I13</f>
      </c>
      <c r="M12" s="552"/>
      <c r="N12" s="552"/>
      <c r="O12" s="552"/>
      <c r="P12" s="552"/>
      <c r="Q12" s="552"/>
      <c r="R12" s="553"/>
      <c r="S12" s="258">
        <v>4</v>
      </c>
      <c r="T12" t="s" s="388">
        <v>333</v>
      </c>
      <c r="U12" s="388"/>
      <c r="V12" s="388"/>
      <c r="W12" s="388"/>
      <c r="X12" s="388"/>
      <c r="Y12" s="388"/>
      <c r="Z12" s="389">
        <v>0</v>
      </c>
      <c r="AA12" s="389"/>
      <c r="AB12" s="390"/>
    </row>
    <row r="13" spans="3:28" s="199" customFormat="1" ht="12" x14ac:dyDescent="0.3">
      <c r="C13" t="s" s="201">
        <v>21</v>
      </c>
      <c r="D13" s="554">
        <v>0</v>
      </c>
      <c r="E13" s="555"/>
      <c r="F13" t="s" s="202">
        <v>13</v>
      </c>
      <c r="G13" s="203">
        <f>W5</f>
      </c>
      <c r="H13" t="s" s="212">
        <v>22</v>
      </c>
      <c r="I13" s="620">
        <v>0</v>
      </c>
      <c r="J13" s="621"/>
      <c r="K13" s="622"/>
      <c r="L13" s="551"/>
      <c r="M13" s="552"/>
      <c r="N13" s="552"/>
      <c r="O13" s="552"/>
      <c r="P13" s="552"/>
      <c r="Q13" s="552"/>
      <c r="R13" s="553"/>
      <c r="S13" s="258">
        <v>5</v>
      </c>
      <c r="T13" s="394"/>
      <c r="U13" s="394"/>
      <c r="V13" s="394"/>
      <c r="W13" s="394"/>
      <c r="X13" s="394"/>
      <c r="Y13" s="394"/>
      <c r="Z13" s="389">
        <v>0</v>
      </c>
      <c r="AA13" s="389"/>
      <c r="AB13" s="390"/>
    </row>
    <row r="14" spans="3:28" s="199" customFormat="1" ht="15" customHeight="1" thickBot="1" x14ac:dyDescent="0.35">
      <c r="C14" t="s" s="546">
        <v>15</v>
      </c>
      <c r="D14" s="547"/>
      <c r="E14" s="205">
        <v>0</v>
      </c>
      <c r="F14" t="s" s="206">
        <v>16</v>
      </c>
      <c r="G14" s="207">
        <f>D13/E14</f>
      </c>
      <c r="H14" t="s" s="626">
        <v>23</v>
      </c>
      <c r="I14" s="627"/>
      <c r="J14" s="627"/>
      <c r="K14" s="628"/>
      <c r="L14" s="629">
        <v>0</v>
      </c>
      <c r="M14" s="630"/>
      <c r="N14" s="630"/>
      <c r="O14" s="630"/>
      <c r="P14" s="630"/>
      <c r="Q14" s="630"/>
      <c r="R14" s="631"/>
      <c r="S14" s="258">
        <v>6</v>
      </c>
      <c r="T14" s="394"/>
      <c r="U14" s="394"/>
      <c r="V14" s="394"/>
      <c r="W14" s="394"/>
      <c r="X14" s="394"/>
      <c r="Y14" s="394"/>
      <c r="Z14" s="389">
        <v>0</v>
      </c>
      <c r="AA14" s="389"/>
      <c r="AB14" s="390"/>
    </row>
    <row r="15" spans="3:28" s="199" customFormat="1" ht="12.5" thickBot="1" x14ac:dyDescent="0.35">
      <c r="C15" t="s" s="520">
        <v>24</v>
      </c>
      <c r="D15" s="521"/>
      <c r="E15" s="522"/>
      <c r="F15" s="523">
        <v>0</v>
      </c>
      <c r="G15" s="524"/>
      <c r="H15" t="s" s="623">
        <v>25</v>
      </c>
      <c r="I15" s="624"/>
      <c r="J15" s="624"/>
      <c r="K15" s="625"/>
      <c r="L15" s="517">
        <f>L10-L11-L12</f>
      </c>
      <c r="M15" s="518"/>
      <c r="N15" s="518"/>
      <c r="O15" s="518"/>
      <c r="P15" s="518"/>
      <c r="Q15" s="518"/>
      <c r="R15" s="519"/>
      <c r="S15" s="265">
        <v>7</v>
      </c>
      <c r="T15" s="394"/>
      <c r="U15" s="394"/>
      <c r="V15" s="394"/>
      <c r="W15" s="394"/>
      <c r="X15" s="394"/>
      <c r="Y15" s="394"/>
      <c r="Z15" s="389">
        <v>0</v>
      </c>
      <c r="AA15" s="389"/>
      <c r="AB15" s="390"/>
    </row>
    <row r="16" spans="3:28" s="199" customFormat="1" ht="15" thickBot="1" x14ac:dyDescent="0.35">
      <c r="C16" t="s" s="520">
        <v>272</v>
      </c>
      <c r="D16" s="521"/>
      <c r="E16" s="522"/>
      <c r="F16" s="523">
        <v>0</v>
      </c>
      <c r="G16" s="524"/>
      <c r="H16" s="514"/>
      <c r="I16" s="515"/>
      <c r="J16" s="515"/>
      <c r="K16" s="516"/>
      <c r="L16" s="517"/>
      <c r="M16" s="518"/>
      <c r="N16" s="518"/>
      <c r="O16" s="518"/>
      <c r="P16" s="518"/>
      <c r="Q16" s="518"/>
      <c r="R16" s="519"/>
      <c r="S16" s="265">
        <v>8</v>
      </c>
      <c r="T16" s="394"/>
      <c r="U16" s="394"/>
      <c r="V16" s="394"/>
      <c r="W16" s="394"/>
      <c r="X16" s="394"/>
      <c r="Y16" s="394"/>
      <c r="Z16" s="389">
        <v>0</v>
      </c>
      <c r="AA16" s="389"/>
      <c r="AB16" s="390"/>
    </row>
    <row r="17" spans="3:28" s="199" customFormat="1" ht="12.5" thickBot="1" x14ac:dyDescent="0.35">
      <c r="C17" t="s" s="525">
        <v>26</v>
      </c>
      <c r="D17" s="526"/>
      <c r="E17" s="527"/>
      <c r="F17" s="528">
        <v>0</v>
      </c>
      <c r="G17" s="529"/>
      <c r="H17" t="s" s="530">
        <v>27</v>
      </c>
      <c r="I17" s="531"/>
      <c r="J17" s="531"/>
      <c r="K17" s="532"/>
      <c r="L17" s="535">
        <f>L14-L15</f>
      </c>
      <c r="M17" s="536"/>
      <c r="N17" s="536"/>
      <c r="O17" s="536"/>
      <c r="P17" s="536"/>
      <c r="Q17" s="536"/>
      <c r="R17" s="537"/>
      <c r="S17" s="266">
        <v>9</v>
      </c>
      <c r="T17" t="s" s="395">
        <v>28</v>
      </c>
      <c r="U17" s="395"/>
      <c r="V17" s="395"/>
      <c r="W17" s="395"/>
      <c r="X17" s="395"/>
      <c r="Y17" s="395"/>
      <c r="Z17" s="396">
        <v>0</v>
      </c>
      <c r="AA17" s="396"/>
      <c r="AB17" s="397"/>
    </row>
    <row r="18" spans="3:28" s="199" customFormat="1" ht="12.5" thickBot="1" x14ac:dyDescent="0.35">
      <c r="C18" t="s" s="514">
        <v>29</v>
      </c>
      <c r="D18" s="539"/>
      <c r="E18" s="540"/>
      <c r="F18" s="541">
        <f>L10-F15-F7-F17-F6</f>
      </c>
      <c r="G18" s="542"/>
      <c r="H18" s="533"/>
      <c r="I18" s="460"/>
      <c r="J18" s="460"/>
      <c r="K18" s="534"/>
      <c r="L18" s="538"/>
      <c r="M18" s="426"/>
      <c r="N18" s="426"/>
      <c r="O18" s="426"/>
      <c r="P18" s="426"/>
      <c r="Q18" s="426"/>
      <c r="R18" s="427"/>
      <c r="S18" t="s" s="514">
        <v>30</v>
      </c>
      <c r="T18" s="539"/>
      <c r="U18" s="539"/>
      <c r="V18" s="539"/>
      <c r="W18" s="539"/>
      <c r="X18" s="539"/>
      <c r="Y18" s="540"/>
      <c r="Z18" s="543">
        <f>SUM(Z9:Z17)+Z49</f>
      </c>
      <c r="AA18" s="544"/>
      <c r="AB18" s="545"/>
    </row>
    <row r="19" spans="3:28" s="199" customFormat="1" ht="12.5" thickBot="1" x14ac:dyDescent="0.35"/>
    <row r="20" spans="3:28" s="199" customFormat="1" ht="15" customHeight="1" x14ac:dyDescent="0.3">
      <c r="C20" t="s" s="662">
        <v>31</v>
      </c>
      <c r="D20" s="663"/>
      <c r="E20" t="s" s="666">
        <v>32</v>
      </c>
      <c r="F20" s="667"/>
      <c r="G20" s="668"/>
      <c r="H20" s="672">
        <v>0</v>
      </c>
      <c r="I20" t="s" s="666">
        <v>33</v>
      </c>
      <c r="J20" s="667"/>
      <c r="K20" s="667"/>
      <c r="L20" s="667"/>
      <c r="M20" s="667"/>
      <c r="N20" s="667"/>
      <c r="O20" s="668"/>
      <c r="P20" s="674">
        <v>0</v>
      </c>
      <c r="Q20" s="675"/>
      <c r="R20" s="676"/>
      <c r="S20" t="s" s="666">
        <v>34</v>
      </c>
      <c r="T20" s="667"/>
      <c r="U20" s="667"/>
      <c r="V20" s="667"/>
      <c r="W20" s="667"/>
      <c r="X20" s="667"/>
      <c r="Y20" s="668"/>
      <c r="Z20" s="674">
        <v>0</v>
      </c>
      <c r="AA20" s="675"/>
      <c r="AB20" s="676"/>
    </row>
    <row r="21" spans="3:28" s="199" customFormat="1" ht="12.5" thickBot="1" x14ac:dyDescent="0.35">
      <c r="C21" s="664"/>
      <c r="D21" s="665"/>
      <c r="E21" s="669"/>
      <c r="F21" s="670"/>
      <c r="G21" s="671"/>
      <c r="H21" s="673"/>
      <c r="I21" s="669"/>
      <c r="J21" s="670"/>
      <c r="K21" s="670"/>
      <c r="L21" s="670"/>
      <c r="M21" s="670"/>
      <c r="N21" s="670"/>
      <c r="O21" s="671"/>
      <c r="P21" s="677"/>
      <c r="Q21" s="678"/>
      <c r="R21" s="679"/>
      <c r="S21" s="669"/>
      <c r="T21" s="670"/>
      <c r="U21" s="670"/>
      <c r="V21" s="670"/>
      <c r="W21" s="670"/>
      <c r="X21" s="670"/>
      <c r="Y21" s="671"/>
      <c r="Z21" s="677"/>
      <c r="AA21" s="678"/>
      <c r="AB21" s="679"/>
    </row>
    <row r="22" spans="3:28" s="199" customFormat="1" ht="15" customHeight="1" x14ac:dyDescent="0.3">
      <c r="C22" t="s" s="444">
        <v>35</v>
      </c>
      <c r="D22" s="445"/>
      <c r="E22" t="s" s="302">
        <v>37</v>
      </c>
      <c r="F22" t="s" s="302">
        <v>38</v>
      </c>
      <c r="G22" t="s" s="302">
        <v>39</v>
      </c>
      <c r="H22" t="s" s="302">
        <v>40</v>
      </c>
      <c r="I22" t="s" s="656">
        <v>36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7"/>
      <c r="T22" s="657"/>
      <c r="U22" s="657"/>
      <c r="V22" s="657"/>
      <c r="W22" s="657"/>
      <c r="X22" s="657"/>
      <c r="Y22" s="657"/>
      <c r="Z22" s="657"/>
      <c r="AA22" s="657"/>
      <c r="AB22" s="657"/>
    </row>
    <row r="23" spans="3:28" s="199" customFormat="1" ht="12.5" thickBot="1" x14ac:dyDescent="0.35">
      <c r="C23" t="s" s="446">
        <v>318</v>
      </c>
      <c r="D23" s="447"/>
      <c r="E23" s="311">
        <f>'30'!E24</f>
      </c>
      <c r="F23" s="311">
        <f>'30'!F24</f>
      </c>
      <c r="G23" s="311">
        <f>'30'!G24</f>
      </c>
      <c r="H23" s="311">
        <f>'30'!H24</f>
      </c>
      <c r="I23" s="659"/>
      <c r="J23" s="660"/>
      <c r="K23" s="660"/>
      <c r="L23" s="660"/>
      <c r="M23" s="660"/>
      <c r="N23" s="660"/>
      <c r="O23" s="660"/>
      <c r="P23" s="660"/>
      <c r="Q23" s="660"/>
      <c r="R23" s="660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spans="3:28" s="199" customFormat="1" ht="11.5" customHeight="1" thickBot="1" x14ac:dyDescent="0.35">
      <c r="C24" t="s" s="446">
        <v>319</v>
      </c>
      <c r="D24" s="447"/>
      <c r="E24" s="312"/>
      <c r="F24" s="312"/>
      <c r="G24" s="312"/>
      <c r="H24" s="313"/>
      <c r="I24" s="256">
        <v>1</v>
      </c>
      <c r="J24" s="215">
        <v>2</v>
      </c>
      <c r="K24" s="215">
        <v>3</v>
      </c>
      <c r="L24" s="217">
        <v>4</v>
      </c>
      <c r="M24" s="216">
        <v>5</v>
      </c>
      <c r="N24" s="215">
        <v>6</v>
      </c>
      <c r="O24" s="215">
        <v>7</v>
      </c>
      <c r="P24" s="217">
        <v>8</v>
      </c>
      <c r="Q24" s="216">
        <v>9</v>
      </c>
      <c r="R24" s="215">
        <v>10</v>
      </c>
      <c r="S24" s="215">
        <v>11</v>
      </c>
      <c r="T24" s="217">
        <v>12</v>
      </c>
      <c r="U24" s="216">
        <v>13</v>
      </c>
      <c r="V24" s="215">
        <v>14</v>
      </c>
      <c r="W24" s="215">
        <v>15</v>
      </c>
      <c r="X24" s="217">
        <v>16</v>
      </c>
      <c r="Y24" s="216">
        <v>17</v>
      </c>
      <c r="Z24" s="215">
        <v>18</v>
      </c>
      <c r="AA24" s="215">
        <v>19</v>
      </c>
      <c r="AB24" s="217">
        <v>20</v>
      </c>
    </row>
    <row r="25" spans="3:28" s="199" customFormat="1" ht="12" x14ac:dyDescent="0.3">
      <c r="C25" t="s" s="652">
        <v>41</v>
      </c>
      <c r="D25" s="653"/>
      <c r="E25" s="257">
        <f>'30'!E26</f>
      </c>
      <c r="F25" s="257">
        <f>'30'!F26</f>
      </c>
      <c r="G25" s="257">
        <f>'30'!G26</f>
      </c>
      <c r="H25" s="257">
        <f>'30'!H26</f>
      </c>
      <c r="I25" s="275">
        <f>'30'!I26</f>
      </c>
      <c r="J25" s="275">
        <f>'30'!J26</f>
      </c>
      <c r="K25" s="275">
        <f>'30'!K26</f>
      </c>
      <c r="L25" s="275">
        <f>'30'!L26</f>
      </c>
      <c r="M25" s="275">
        <f>'30'!M26</f>
      </c>
      <c r="N25" s="275">
        <f>'30'!N26</f>
      </c>
      <c r="O25" s="275">
        <f>'30'!O26</f>
      </c>
      <c r="P25" s="275">
        <f>'30'!P26</f>
      </c>
      <c r="Q25" s="275">
        <f>'30'!Q26</f>
      </c>
      <c r="R25" s="275">
        <f>'30'!R26</f>
      </c>
      <c r="S25" s="275">
        <f>'30'!S26</f>
      </c>
      <c r="T25" s="275">
        <f>'30'!T26</f>
      </c>
      <c r="U25" s="275">
        <f>'30'!U26</f>
      </c>
      <c r="V25" s="275">
        <f>'30'!V26</f>
      </c>
      <c r="W25" s="275">
        <f>'30'!W26</f>
      </c>
      <c r="X25" s="275">
        <f>'30'!X26</f>
      </c>
      <c r="Y25" s="275">
        <f>'30'!Y26</f>
      </c>
      <c r="Z25" s="275">
        <f>'30'!Z26</f>
      </c>
      <c r="AA25" s="275">
        <f>'30'!AA26</f>
      </c>
      <c r="AB25" s="275">
        <f>'30'!AB26</f>
      </c>
    </row>
    <row r="26" spans="3:28" s="199" customFormat="1" ht="12" x14ac:dyDescent="0.3">
      <c r="C26" t="s" s="680">
        <v>42</v>
      </c>
      <c r="D26" s="681"/>
      <c r="E26" s="5"/>
      <c r="F26" s="6"/>
      <c r="G26" s="6"/>
      <c r="H26" s="7"/>
      <c r="I26" s="276"/>
      <c r="J26" s="277"/>
      <c r="K26" s="277"/>
      <c r="L26" s="278"/>
      <c r="M26" s="276"/>
      <c r="N26" s="277"/>
      <c r="O26" s="277"/>
      <c r="P26" s="278"/>
      <c r="Q26" s="276"/>
      <c r="R26" s="277"/>
      <c r="S26" s="277"/>
      <c r="T26" s="278"/>
      <c r="U26" s="276"/>
      <c r="V26" s="277"/>
      <c r="W26" s="277"/>
      <c r="X26" s="278"/>
      <c r="Y26" s="276"/>
      <c r="Z26" s="277"/>
      <c r="AA26" s="277"/>
      <c r="AB26" s="278"/>
    </row>
    <row r="27" spans="3:28" s="199" customFormat="1" ht="12" x14ac:dyDescent="0.3">
      <c r="C27" t="s" s="682">
        <v>43</v>
      </c>
      <c r="D27" s="683"/>
      <c r="E27" s="8">
        <f>E26-E25</f>
      </c>
      <c r="F27" s="9">
        <f>F26-F25</f>
      </c>
      <c r="G27" s="9">
        <f>G26-G25</f>
      </c>
      <c r="H27" s="10">
        <f>H26-H25</f>
      </c>
      <c cm="1" r="I27" s="279">
        <f t="array" ref="I27">IF(OR(NOT(ISNUMBER(I25)),NOT(ISNUMBER(I26)),I25&lt;0,I25&gt;200,I26&lt;0,I26&gt;200),"0",
   IF(I26&gt;=I25,
      I26 - I25,
      IF(I26=0,
         (MIN(IF({25,50,75,100,125,150,175,200}&gt;=I25,{25,50,75,100,125,150,175,200})) - I25) + 1,
         (MIN(IF({25,50,75,100,125,150,175,200}&gt;=I25,{25,50,75,100,125,150,175,200})) - I25) + I26
      )
   )
)</f>
      </c>
      <c cm="1" r="J27" s="279">
        <f t="array" ref="J27">IF(OR(NOT(ISNUMBER(J25)),NOT(ISNUMBER(J26)),J25&lt;0,J25&gt;200,J26&lt;0,J26&gt;200),"0",
   IF(J26&gt;=J25,
      J26 - J25,
      IF(J26=0,
         (MIN(IF({25,50,75,100,125,150,175,200}&gt;=J25,{25,50,75,100,125,150,175,200})) - J25) + 1,
         (MIN(IF({25,50,75,100,125,150,175,200}&gt;=J25,{25,50,75,100,125,150,175,200})) - J25) + J26
      )
   )
)</f>
      </c>
      <c cm="1" r="K27" s="279">
        <f t="array" ref="K27">IF(OR(NOT(ISNUMBER(K25)),NOT(ISNUMBER(K26)),K25&lt;0,K25&gt;200,K26&lt;0,K26&gt;200),"0",
   IF(K26&gt;=K25,
      K26 - K25,
      IF(K26=0,
         (MIN(IF({25,50,75,100,125,150,175,200}&gt;=K25,{25,50,75,100,125,150,175,200})) - K25) + 1,
         (MIN(IF({25,50,75,100,125,150,175,200}&gt;=K25,{25,50,75,100,125,150,175,200})) - K25) + K26
      )
   )
)</f>
      </c>
      <c cm="1" r="L27" s="279">
        <f t="array" ref="L27">IF(OR(NOT(ISNUMBER(L25)),NOT(ISNUMBER(L26)),L25&lt;0,L25&gt;200,L26&lt;0,L26&gt;200),"0",
   IF(L26&gt;=L25,
      L26 - L25,
      IF(L26=0,
         (MIN(IF({25,50,75,100,125,150,175,200}&gt;=L25,{25,50,75,100,125,150,175,200})) - L25) + 1,
         (MIN(IF({25,50,75,100,125,150,175,200}&gt;=L25,{25,50,75,100,125,150,175,200})) - L25) + L26
      )
   )
)</f>
      </c>
      <c cm="1" r="M27" s="279">
        <f t="array" ref="M27">IF(OR(NOT(ISNUMBER(M25)),NOT(ISNUMBER(M26)),M25&lt;0,M25&gt;200,M26&lt;0,M26&gt;200),"0",
   IF(M26&gt;=M25,
      M26 - M25,
      IF(M26=0,
         (MIN(IF({25,50,75,100,125,150,175,200}&gt;=M25,{25,50,75,100,125,150,175,200})) - M25) + 1,
         (MIN(IF({25,50,75,100,125,150,175,200}&gt;=M25,{25,50,75,100,125,150,175,200})) - M25) + M26
      )
   )
)</f>
      </c>
      <c cm="1" r="N27" s="279">
        <f t="array" ref="N27">IF(OR(NOT(ISNUMBER(N25)),NOT(ISNUMBER(N26)),N25&lt;0,N25&gt;200,N26&lt;0,N26&gt;200),"0",
   IF(N26&gt;=N25,
      N26 - N25,
      IF(N26=0,
         (MIN(IF({25,50,75,100,125,150,175,200}&gt;=N25,{25,50,75,100,125,150,175,200})) - N25) + 1,
         (MIN(IF({25,50,75,100,125,150,175,200}&gt;=N25,{25,50,75,100,125,150,175,200})) - N25) + N26
      )
   )
)</f>
      </c>
      <c cm="1" r="O27" s="279">
        <f t="array" ref="O27">IF(OR(NOT(ISNUMBER(O25)),NOT(ISNUMBER(O26)),O25&lt;0,O25&gt;200,O26&lt;0,O26&gt;200),"0",
   IF(O26&gt;=O25,
      O26 - O25,
      IF(O26=0,
         (MIN(IF({25,50,75,100,125,150,175,200}&gt;=O25,{25,50,75,100,125,150,175,200})) - O25) + 1,
         (MIN(IF({25,50,75,100,125,150,175,200}&gt;=O25,{25,50,75,100,125,150,175,200})) - O25) + O26
      )
   )
)</f>
      </c>
      <c cm="1" r="P27" s="279">
        <f t="array" ref="P27">IF(OR(NOT(ISNUMBER(P25)),NOT(ISNUMBER(P26)),P25&lt;0,P25&gt;200,P26&lt;0,P26&gt;200),"0",
   IF(P26&gt;=P25,
      P26 - P25,
      IF(P26=0,
         (MIN(IF({25,50,75,100,125,150,175,200}&gt;=P25,{25,50,75,100,125,150,175,200})) - P25) + 1,
         (MIN(IF({25,50,75,100,125,150,175,200}&gt;=P25,{25,50,75,100,125,150,175,200})) - P25) + P26
      )
   )
)</f>
      </c>
      <c cm="1" r="Q27" s="279">
        <f t="array" ref="Q27">IF(OR(NOT(ISNUMBER(Q25)),NOT(ISNUMBER(Q26)),Q25&lt;0,Q25&gt;200,Q26&lt;0,Q26&gt;200),"0",
   IF(Q26&gt;=Q25,
      Q26 - Q25,
      IF(Q26=0,
         (MIN(IF({25,50,75,100,125,150,175,200}&gt;=Q25,{25,50,75,100,125,150,175,200})) - Q25) + 1,
         (MIN(IF({25,50,75,100,125,150,175,200}&gt;=Q25,{25,50,75,100,125,150,175,200})) - Q25) + Q26
      )
   )
)</f>
      </c>
      <c cm="1" r="R27" s="279">
        <f t="array" ref="R27">IF(OR(NOT(ISNUMBER(R25)),NOT(ISNUMBER(R26)),R25&lt;0,R25&gt;200,R26&lt;0,R26&gt;200),"0",
   IF(R26&gt;=R25,
      R26 - R25,
      IF(R26=0,
         (MIN(IF({25,50,75,100,125,150,175,200}&gt;=R25,{25,50,75,100,125,150,175,200})) - R25) + 1,
         (MIN(IF({25,50,75,100,125,150,175,200}&gt;=R25,{25,50,75,100,125,150,175,200})) - R25) + R26
      )
   )
)</f>
      </c>
      <c cm="1" r="S27" s="279">
        <f t="array" ref="S27">IF(OR(NOT(ISNUMBER(S25)),NOT(ISNUMBER(S26)),S25&lt;0,S25&gt;200,S26&lt;0,S26&gt;200),"0",
   IF(S26&gt;=S25,
      S26 - S25,
      IF(S26=0,
         (MIN(IF({25,50,75,100,125,150,175,200}&gt;=S25,{25,50,75,100,125,150,175,200})) - S25) + 1,
         (MIN(IF({25,50,75,100,125,150,175,200}&gt;=S25,{25,50,75,100,125,150,175,200})) - S25) + S26
      )
   )
)</f>
      </c>
      <c cm="1" r="T27" s="279">
        <f t="array" ref="T27">IF(OR(NOT(ISNUMBER(T25)),NOT(ISNUMBER(T26)),T25&lt;0,T25&gt;200,T26&lt;0,T26&gt;200),"0",
   IF(T26&gt;=T25,
      T26 - T25,
      IF(T26=0,
         (MIN(IF({25,50,75,100,125,150,175,200}&gt;=T25,{25,50,75,100,125,150,175,200})) - T25) + 1,
         (MIN(IF({25,50,75,100,125,150,175,200}&gt;=T25,{25,50,75,100,125,150,175,200})) - T25) + T26
      )
   )
)</f>
      </c>
      <c cm="1" r="U27" s="279">
        <f t="array" ref="U27">IF(OR(NOT(ISNUMBER(U25)),NOT(ISNUMBER(U26)),U25&lt;0,U25&gt;200,U26&lt;0,U26&gt;200),"0",
   IF(U26&gt;=U25,
      U26 - U25,
      IF(U26=0,
         (MIN(IF({25,50,75,100,125,150,175,200}&gt;=U25,{25,50,75,100,125,150,175,200})) - U25) + 1,
         (MIN(IF({25,50,75,100,125,150,175,200}&gt;=U25,{25,50,75,100,125,150,175,200})) - U25) + U26
      )
   )
)</f>
      </c>
      <c cm="1" r="V27" s="279">
        <f t="array" ref="V27">IF(OR(NOT(ISNUMBER(V25)),NOT(ISNUMBER(V26)),V25&lt;0,V25&gt;200,V26&lt;0,V26&gt;200),"0",
   IF(V26&gt;=V25,
      V26 - V25,
      IF(V26=0,
         (MIN(IF({25,50,75,100,125,150,175,200}&gt;=V25,{25,50,75,100,125,150,175,200})) - V25) + 1,
         (MIN(IF({25,50,75,100,125,150,175,200}&gt;=V25,{25,50,75,100,125,150,175,200})) - V25) + V26
      )
   )
)</f>
      </c>
      <c cm="1" r="W27" s="279">
        <f t="array" ref="W27">IF(OR(NOT(ISNUMBER(W25)),NOT(ISNUMBER(W26)),W25&lt;0,W25&gt;200,W26&lt;0,W26&gt;200),"0",
   IF(W26&gt;=W25,
      W26 - W25,
      IF(W26=0,
         (MIN(IF({25,50,75,100,125,150,175,200}&gt;=W25,{25,50,75,100,125,150,175,200})) - W25) + 1,
         (MIN(IF({25,50,75,100,125,150,175,200}&gt;=W25,{25,50,75,100,125,150,175,200})) - W25) + W26
      )
   )
)</f>
      </c>
      <c cm="1" r="X27" s="279">
        <f t="array" ref="X27">IF(OR(NOT(ISNUMBER(X25)),NOT(ISNUMBER(X26)),X25&lt;0,X25&gt;200,X26&lt;0,X26&gt;200),"0",
   IF(X26&gt;=X25,
      X26 - X25,
      IF(X26=0,
         (MIN(IF({25,50,75,100,125,150,175,200}&gt;=X25,{25,50,75,100,125,150,175,200})) - X25) + 1,
         (MIN(IF({25,50,75,100,125,150,175,200}&gt;=X25,{25,50,75,100,125,150,175,200})) - X25) + X26
      )
   )
)</f>
      </c>
      <c cm="1" r="Y27" s="279">
        <f t="array" ref="Y27">IF(OR(NOT(ISNUMBER(Y25)),NOT(ISNUMBER(Y26)),Y25&lt;0,Y25&gt;200,Y26&lt;0,Y26&gt;200),"0",
   IF(Y26&gt;=Y25,
      Y26 - Y25,
      IF(Y26=0,
         (MIN(IF({25,50,75,100,125,150,175,200}&gt;=Y25,{25,50,75,100,125,150,175,200})) - Y25) + 1,
         (MIN(IF({25,50,75,100,125,150,175,200}&gt;=Y25,{25,50,75,100,125,150,175,200})) - Y25) + Y26
      )
   )
)</f>
      </c>
      <c cm="1" r="Z27" s="279">
        <f t="array" ref="Z27">IF(OR(NOT(ISNUMBER(Z25)),NOT(ISNUMBER(Z26)),Z25&lt;0,Z25&gt;200,Z26&lt;0,Z26&gt;200),"0",
   IF(Z26&gt;=Z25,
      Z26 - Z25,
      IF(Z26=0,
         (MIN(IF({25,50,75,100,125,150,175,200}&gt;=Z25,{25,50,75,100,125,150,175,200})) - Z25) + 1,
         (MIN(IF({25,50,75,100,125,150,175,200}&gt;=Z25,{25,50,75,100,125,150,175,200})) - Z25) + Z26
      )
   )
)</f>
      </c>
      <c cm="1" r="AA27" s="279">
        <f t="array" ref="AA27">IF(OR(NOT(ISNUMBER(AA25)),NOT(ISNUMBER(AA26)),AA25&lt;0,AA25&gt;200,AA26&lt;0,AA26&gt;200),"0",
   IF(AA26&gt;=AA25,
      AA26 - AA25,
      IF(AA26=0,
         (MIN(IF({25,50,75,100,125,150,175,200}&gt;=AA25,{25,50,75,100,125,150,175,200})) - AA25) + 1,
         (MIN(IF({25,50,75,100,125,150,175,200}&gt;=AA25,{25,50,75,100,125,150,175,200})) - AA25) + AA26
      )
   )
)</f>
      </c>
      <c cm="1" r="AB27" s="279">
        <f t="array" ref="AB27">IF(OR(NOT(ISNUMBER(AB25)),NOT(ISNUMBER(AB26)),AB25&lt;0,AB25&gt;200,AB26&lt;0,AB26&gt;200),"0",
   IF(AB26&gt;=AB25,
      AB26 - AB25,
      IF(AB26=0,
         (MIN(IF({25,50,75,100,125,150,175,200}&gt;=AB25,{25,50,75,100,125,150,175,200})) - AB25) + 1,
         (MIN(IF({25,50,75,100,125,150,175,200}&gt;=AB25,{25,50,75,100,125,150,175,200})) - AB25) + AB26
      )
   )
)</f>
      </c>
    </row>
    <row r="28" spans="3:28" s="199" customFormat="1" ht="12" x14ac:dyDescent="0.3">
      <c r="C28" t="s" s="654">
        <v>44</v>
      </c>
      <c r="D28" s="655"/>
      <c r="E28" s="233">
        <f>'30'!E28</f>
      </c>
      <c r="F28" s="233">
        <f>'30'!F28</f>
      </c>
      <c r="G28" s="233">
        <f>'30'!G28</f>
      </c>
      <c r="H28" s="233">
        <f>'30'!H28</f>
      </c>
      <c r="I28" s="234">
        <f>'30'!I28</f>
      </c>
      <c r="J28" s="234">
        <f>'30'!J28</f>
      </c>
      <c r="K28" s="234">
        <f>'30'!K28</f>
      </c>
      <c r="L28" s="234">
        <f>'30'!L28</f>
      </c>
      <c r="M28" s="234">
        <f>'30'!M28</f>
      </c>
      <c r="N28" s="234">
        <f>'30'!N28</f>
      </c>
      <c r="O28" s="234">
        <f>'30'!O28</f>
      </c>
      <c r="P28" s="234">
        <f>'30'!P28</f>
      </c>
      <c r="Q28" s="234">
        <f>'30'!Q28</f>
      </c>
      <c r="R28" s="234">
        <f>'30'!R28</f>
      </c>
      <c r="S28" s="234">
        <f>'30'!S28</f>
      </c>
      <c r="T28" s="234">
        <f>'30'!T28</f>
      </c>
      <c r="U28" s="234">
        <f>'30'!U28</f>
      </c>
      <c r="V28" s="234">
        <f>'30'!V28</f>
      </c>
      <c r="W28" s="234">
        <f>'30'!W28</f>
      </c>
      <c r="X28" s="234">
        <f>'30'!X28</f>
      </c>
      <c r="Y28" s="234">
        <f>'30'!Y28</f>
      </c>
      <c r="Z28" s="234">
        <f>'30'!Z28</f>
      </c>
      <c r="AA28" s="234">
        <f>'30'!AA28</f>
      </c>
      <c r="AB28" s="234">
        <f>'30'!AB28</f>
      </c>
    </row>
    <row r="29" spans="3:28" s="199" customFormat="1" ht="12.5" thickBot="1" x14ac:dyDescent="0.35">
      <c r="C29" t="s" s="646">
        <v>45</v>
      </c>
      <c r="D29" s="647"/>
      <c r="E29" s="227">
        <f t="shared" ref="E29:AB29" si="0">E28*E27</f>
      </c>
      <c r="F29" s="228">
        <f t="shared" si="0"/>
      </c>
      <c r="G29" s="228">
        <f t="shared" si="0"/>
      </c>
      <c r="H29" s="229">
        <f t="shared" si="0"/>
      </c>
      <c r="I29" s="280">
        <f t="shared" si="0"/>
      </c>
      <c r="J29" s="281">
        <f t="shared" si="0"/>
      </c>
      <c r="K29" s="281">
        <f t="shared" si="0"/>
      </c>
      <c r="L29" s="282">
        <f t="shared" si="0"/>
      </c>
      <c r="M29" s="280">
        <f t="shared" si="0"/>
      </c>
      <c r="N29" s="281">
        <f t="shared" si="0"/>
      </c>
      <c r="O29" s="281">
        <f t="shared" si="0"/>
      </c>
      <c r="P29" s="282">
        <f t="shared" si="0"/>
      </c>
      <c r="Q29" s="280">
        <f t="shared" si="0"/>
      </c>
      <c r="R29" s="281">
        <f t="shared" si="0"/>
      </c>
      <c r="S29" s="281">
        <f t="shared" si="0"/>
      </c>
      <c r="T29" s="282">
        <f t="shared" si="0"/>
      </c>
      <c r="U29" s="280">
        <f t="shared" si="0"/>
      </c>
      <c r="V29" s="281">
        <f t="shared" si="0"/>
      </c>
      <c r="W29" s="281">
        <f t="shared" si="0"/>
      </c>
      <c r="X29" s="282">
        <f t="shared" si="0"/>
      </c>
      <c r="Y29" s="280">
        <f t="shared" si="0"/>
      </c>
      <c r="Z29" s="281">
        <f t="shared" si="0"/>
      </c>
      <c r="AA29" s="281">
        <f t="shared" si="0"/>
      </c>
      <c r="AB29" s="282">
        <f t="shared" si="0"/>
      </c>
    </row>
    <row r="30" spans="3:28" s="199" customFormat="1" ht="12.5" thickBot="1" x14ac:dyDescent="0.35">
      <c r="C30" t="s" s="514">
        <v>46</v>
      </c>
      <c r="D30" s="539"/>
      <c r="E30" s="540"/>
      <c r="F30" s="648">
        <f>E29+F29+G29+H29</f>
      </c>
      <c r="G30" s="570"/>
      <c r="H30" s="571"/>
      <c r="I30" t="s" s="689">
        <v>47</v>
      </c>
      <c r="J30" s="690"/>
      <c r="K30" s="690"/>
      <c r="L30" s="691"/>
      <c r="M30" s="692">
        <f>SUM(I29:AB29)</f>
      </c>
      <c r="N30" s="693"/>
      <c r="O30" t="s" s="694">
        <v>48</v>
      </c>
      <c r="P30" s="695"/>
      <c r="Q30" s="695"/>
      <c r="R30" s="695"/>
      <c r="S30" s="696"/>
      <c r="T30" s="684"/>
      <c r="U30" s="685"/>
      <c r="V30" t="s" s="514">
        <v>49</v>
      </c>
      <c r="W30" s="539"/>
      <c r="X30" s="539"/>
      <c r="Y30" s="540"/>
      <c r="Z30" s="686">
        <f>T30+Q37</f>
      </c>
      <c r="AA30" s="687"/>
      <c r="AB30" s="688"/>
    </row>
    <row r="31" spans="3:28" s="199" customFormat="1" ht="15.75" customHeight="1" thickBot="1" x14ac:dyDescent="0.35">
      <c r="C31" t="s" s="462">
        <v>50</v>
      </c>
      <c r="D31" s="463"/>
      <c r="E31" s="464"/>
      <c r="F31" s="218">
        <f>SUM(E27:H27)</f>
      </c>
      <c r="I31" s="342">
        <v>21</v>
      </c>
      <c r="J31" s="343">
        <v>22</v>
      </c>
      <c r="K31" s="343">
        <v>23</v>
      </c>
      <c r="L31" s="343">
        <v>24</v>
      </c>
      <c r="M31" s="260">
        <v>25</v>
      </c>
      <c r="N31" s="260">
        <v>26</v>
      </c>
      <c r="O31" s="260">
        <v>27</v>
      </c>
      <c r="P31" s="260">
        <v>28</v>
      </c>
      <c r="Q31" s="261">
        <v>29</v>
      </c>
      <c r="R31" s="272">
        <v>30</v>
      </c>
      <c r="S31" s="342">
        <v>31</v>
      </c>
      <c r="T31" s="343">
        <v>32</v>
      </c>
      <c r="U31" s="343">
        <v>33</v>
      </c>
      <c r="V31" s="343">
        <v>34</v>
      </c>
      <c r="W31" s="260">
        <v>35</v>
      </c>
      <c r="X31" s="260">
        <v>36</v>
      </c>
      <c r="Y31" s="260">
        <v>37</v>
      </c>
      <c r="Z31" s="260">
        <v>38</v>
      </c>
      <c r="AA31" s="261">
        <v>39</v>
      </c>
      <c r="AB31" s="272">
        <v>40</v>
      </c>
    </row>
    <row r="32" spans="3:28" s="199" customFormat="1" ht="12.5" thickBot="1" x14ac:dyDescent="0.35">
      <c r="C32" t="s" s="462">
        <v>52</v>
      </c>
      <c r="D32" s="463"/>
      <c r="E32" s="464"/>
      <c r="F32" s="219">
        <f>L12</f>
      </c>
      <c r="G32" s="220"/>
      <c r="H32" s="221"/>
      <c r="I32" s="275">
        <f>'30'!I33</f>
      </c>
      <c r="J32" s="275">
        <f>'30'!J33</f>
      </c>
      <c r="K32" s="275">
        <f>'30'!K33</f>
      </c>
      <c r="L32" s="275">
        <f>'30'!L33</f>
      </c>
      <c r="M32" s="275">
        <f>'30'!M33</f>
      </c>
      <c r="N32" s="275">
        <f>'30'!N33</f>
      </c>
      <c r="O32" s="275">
        <f>'30'!O33</f>
      </c>
      <c r="P32" s="275">
        <f>'30'!P33</f>
      </c>
      <c r="Q32" s="275">
        <f>'30'!Q33</f>
      </c>
      <c r="R32" s="275">
        <f>'30'!R33</f>
      </c>
      <c r="S32" s="275">
        <f>'30'!S33</f>
      </c>
      <c r="T32" s="275">
        <f>'30'!T33</f>
      </c>
      <c r="U32" s="275">
        <f>'30'!U33</f>
      </c>
      <c r="V32" s="275">
        <f>'30'!V33</f>
      </c>
      <c r="W32" s="275">
        <f>'30'!W33</f>
      </c>
      <c r="X32" s="275">
        <f>'30'!X33</f>
      </c>
      <c r="Y32" s="275">
        <f>'30'!Y33</f>
      </c>
      <c r="Z32" s="275">
        <f>'30'!Z33</f>
      </c>
      <c r="AA32" s="275">
        <f>'30'!AA33</f>
      </c>
      <c r="AB32" s="275">
        <f>'30'!AB33</f>
      </c>
    </row>
    <row r="33" spans="3:28" s="199" customFormat="1" ht="12.5" thickBot="1" x14ac:dyDescent="0.35">
      <c r="C33" s="222"/>
      <c r="D33" s="222"/>
      <c r="E33" s="222"/>
      <c r="F33" s="222"/>
      <c r="G33" s="221"/>
      <c r="H33" s="236"/>
      <c r="I33" s="283"/>
      <c r="J33" s="284"/>
      <c r="K33" s="284"/>
      <c r="L33" s="285"/>
      <c r="M33" s="285"/>
      <c r="N33" s="285"/>
      <c r="O33" s="285"/>
      <c r="P33" s="285"/>
      <c r="Q33" s="285"/>
      <c r="R33" s="286"/>
      <c r="S33" s="283"/>
      <c r="T33" s="284"/>
      <c r="U33" s="284"/>
      <c r="V33" s="285"/>
      <c r="W33" s="285"/>
      <c r="X33" s="285"/>
      <c r="Y33" s="285"/>
      <c r="Z33" s="285"/>
      <c r="AA33" s="285"/>
      <c r="AB33" s="286"/>
    </row>
    <row r="34" spans="3:28" s="199" customFormat="1" ht="12.5" thickBot="1" x14ac:dyDescent="0.35">
      <c r="C34" t="s" s="632">
        <v>236</v>
      </c>
      <c r="D34" s="633"/>
      <c r="E34" s="634"/>
      <c r="F34" s="223">
        <v>0</v>
      </c>
      <c r="G34" s="220"/>
      <c cm="1" r="I34" s="287">
        <f t="array" ref="I34">IF(OR(NOT(ISNUMBER(I32)),NOT(ISNUMBER(I33)),I32&lt;0,I32&gt;200,I33&lt;0,I33&gt;200),"0",
   IF(I33&gt;=I32,
      I33 - I32,
      IF(I33=0,
         (MIN(IF({25,50,75,100,125,150,175,200}&gt;=I32,{25,50,75,100,125,150,175,200})) - I32) + 1,
         (MIN(IF({25,50,75,100,125,150,175,200}&gt;=I32,{25,50,75,100,125,150,175,200})) - I32) + I33
      )
   )
)</f>
      </c>
      <c cm="1" r="J34" s="287">
        <f t="array" ref="J34">IF(OR(NOT(ISNUMBER(J32)),NOT(ISNUMBER(J33)),J32&lt;0,J32&gt;200,J33&lt;0,J33&gt;200),"0",
   IF(J33&gt;=J32,
      J33 - J32,
      IF(J33=0,
         (MIN(IF({25,50,75,100,125,150,175,200}&gt;=J32,{25,50,75,100,125,150,175,200})) - J32) + 1,
         (MIN(IF({25,50,75,100,125,150,175,200}&gt;=J32,{25,50,75,100,125,150,175,200})) - J32) + J33
      )
   )
)</f>
      </c>
      <c cm="1" r="K34" s="287">
        <f t="array" ref="K34">IF(OR(NOT(ISNUMBER(K32)),NOT(ISNUMBER(K33)),K32&lt;0,K32&gt;200,K33&lt;0,K33&gt;200),"0",
   IF(K33&gt;=K32,
      K33 - K32,
      IF(K33=0,
         (MIN(IF({25,50,75,100,125,150,175,200}&gt;=K32,{25,50,75,100,125,150,175,200})) - K32) + 1,
         (MIN(IF({25,50,75,100,125,150,175,200}&gt;=K32,{25,50,75,100,125,150,175,200})) - K32) + K33
      )
   )
)</f>
      </c>
      <c cm="1" r="L34" s="287">
        <f t="array" ref="L34">IF(OR(NOT(ISNUMBER(L32)),NOT(ISNUMBER(L33)),L32&lt;0,L32&gt;200,L33&lt;0,L33&gt;200),"0",
   IF(L33&gt;=L32,
      L33 - L32,
      IF(L33=0,
         (MIN(IF({25,50,75,100,125,150,175,200}&gt;=L32,{25,50,75,100,125,150,175,200})) - L32) + 1,
         (MIN(IF({25,50,75,100,125,150,175,200}&gt;=L32,{25,50,75,100,125,150,175,200})) - L32) + L33
      )
   )
)</f>
      </c>
      <c cm="1" r="M34" s="287">
        <f t="array" ref="M34">IF(OR(NOT(ISNUMBER(M32)),NOT(ISNUMBER(M33)),M32&lt;0,M32&gt;200,M33&lt;0,M33&gt;200),"0",
   IF(M33&gt;=M32,
      M33 - M32,
      IF(M33=0,
         (MIN(IF({25,50,75,100,125,150,175,200}&gt;=M32,{25,50,75,100,125,150,175,200})) - M32) + 1,
         (MIN(IF({25,50,75,100,125,150,175,200}&gt;=M32,{25,50,75,100,125,150,175,200})) - M32) + M33
      )
   )
)</f>
      </c>
      <c cm="1" r="N34" s="287">
        <f t="array" ref="N34">IF(OR(NOT(ISNUMBER(N32)),NOT(ISNUMBER(N33)),N32&lt;0,N32&gt;200,N33&lt;0,N33&gt;200),"0",
   IF(N33&gt;=N32,
      N33 - N32,
      IF(N33=0,
         (MIN(IF({25,50,75,100,125,150,175,200}&gt;=N32,{25,50,75,100,125,150,175,200})) - N32) + 1,
         (MIN(IF({25,50,75,100,125,150,175,200}&gt;=N32,{25,50,75,100,125,150,175,200})) - N32) + N33
      )
   )
)</f>
      </c>
      <c cm="1" r="O34" s="287">
        <f t="array" ref="O34">IF(OR(NOT(ISNUMBER(O32)),NOT(ISNUMBER(O33)),O32&lt;0,O32&gt;200,O33&lt;0,O33&gt;200),"0",
   IF(O33&gt;=O32,
      O33 - O32,
      IF(O33=0,
         (MIN(IF({25,50,75,100,125,150,175,200}&gt;=O32,{25,50,75,100,125,150,175,200})) - O32) + 1,
         (MIN(IF({25,50,75,100,125,150,175,200}&gt;=O32,{25,50,75,100,125,150,175,200})) - O32) + O33
      )
   )
)</f>
      </c>
      <c cm="1" r="P34" s="287">
        <f t="array" ref="P34">IF(OR(NOT(ISNUMBER(P32)),NOT(ISNUMBER(P33)),P32&lt;0,P32&gt;200,P33&lt;0,P33&gt;200),"0",
   IF(P33&gt;=P32,
      P33 - P32,
      IF(P33=0,
         (MIN(IF({25,50,75,100,125,150,175,200}&gt;=P32,{25,50,75,100,125,150,175,200})) - P32) + 1,
         (MIN(IF({25,50,75,100,125,150,175,200}&gt;=P32,{25,50,75,100,125,150,175,200})) - P32) + P33
      )
   )
)</f>
      </c>
      <c cm="1" r="Q34" s="287">
        <f t="array" ref="Q34">IF(OR(NOT(ISNUMBER(Q32)),NOT(ISNUMBER(Q33)),Q32&lt;0,Q32&gt;200,Q33&lt;0,Q33&gt;200),"0",
   IF(Q33&gt;=Q32,
      Q33 - Q32,
      IF(Q33=0,
         (MIN(IF({25,50,75,100,125,150,175,200}&gt;=Q32,{25,50,75,100,125,150,175,200})) - Q32) + 1,
         (MIN(IF({25,50,75,100,125,150,175,200}&gt;=Q32,{25,50,75,100,125,150,175,200})) - Q32) + Q33
      )
   )
)</f>
      </c>
      <c cm="1" r="R34" s="287">
        <f t="array" ref="R34">IF(OR(NOT(ISNUMBER(R32)),NOT(ISNUMBER(R33)),R32&lt;0,R32&gt;200,R33&lt;0,R33&gt;200),"0",
   IF(R33&gt;=R32,
      R33 - R32,
      IF(R33=0,
         (MIN(IF({25,50,75,100,125,150,175,200}&gt;=R32,{25,50,75,100,125,150,175,200})) - R32) + 1,
         (MIN(IF({25,50,75,100,125,150,175,200}&gt;=R32,{25,50,75,100,125,150,175,200})) - R32) + R33
      )
   )
)</f>
      </c>
      <c cm="1" r="S34" s="287">
        <f t="array" ref="S34">IF(OR(NOT(ISNUMBER(S32)),NOT(ISNUMBER(S33)),S32&lt;0,S32&gt;200,S33&lt;0,S33&gt;200),"0",
   IF(S33&gt;=S32,
      S33 - S32,
      IF(S33=0,
         (MIN(IF({25,50,75,100,125,150,175,200}&gt;=S32,{25,50,75,100,125,150,175,200})) - S32) + 1,
         (MIN(IF({25,50,75,100,125,150,175,200}&gt;=S32,{25,50,75,100,125,150,175,200})) - S32) + S33
      )
   )
)</f>
      </c>
      <c cm="1" r="T34" s="287">
        <f t="array" ref="T34">IF(OR(NOT(ISNUMBER(T32)),NOT(ISNUMBER(T33)),T32&lt;0,T32&gt;200,T33&lt;0,T33&gt;200),"0",
   IF(T33&gt;=T32,
      T33 - T32,
      IF(T33=0,
         (MIN(IF({25,50,75,100,125,150,175,200}&gt;=T32,{25,50,75,100,125,150,175,200})) - T32) + 1,
         (MIN(IF({25,50,75,100,125,150,175,200}&gt;=T32,{25,50,75,100,125,150,175,200})) - T32) + T33
      )
   )
)</f>
      </c>
      <c cm="1" r="U34" s="287">
        <f t="array" ref="U34">IF(OR(NOT(ISNUMBER(U32)),NOT(ISNUMBER(U33)),U32&lt;0,U32&gt;200,U33&lt;0,U33&gt;200),"0",
   IF(U33&gt;=U32,
      U33 - U32,
      IF(U33=0,
         (MIN(IF({25,50,75,100,125,150,175,200}&gt;=U32,{25,50,75,100,125,150,175,200})) - U32) + 1,
         (MIN(IF({25,50,75,100,125,150,175,200}&gt;=U32,{25,50,75,100,125,150,175,200})) - U32) + U33
      )
   )
)</f>
      </c>
      <c cm="1" r="V34" s="287">
        <f t="array" ref="V34">IF(OR(NOT(ISNUMBER(V32)),NOT(ISNUMBER(V33)),V32&lt;0,V32&gt;200,V33&lt;0,V33&gt;200),"0",
   IF(V33&gt;=V32,
      V33 - V32,
      IF(V33=0,
         (MIN(IF({25,50,75,100,125,150,175,200}&gt;=V32,{25,50,75,100,125,150,175,200})) - V32) + 1,
         (MIN(IF({25,50,75,100,125,150,175,200}&gt;=V32,{25,50,75,100,125,150,175,200})) - V32) + V33
      )
   )
)</f>
      </c>
      <c cm="1" r="W34" s="287">
        <f t="array" ref="W34">IF(OR(NOT(ISNUMBER(W32)),NOT(ISNUMBER(W33)),W32&lt;0,W32&gt;200,W33&lt;0,W33&gt;200),"0",
   IF(W33&gt;=W32,
      W33 - W32,
      IF(W33=0,
         (MIN(IF({25,50,75,100,125,150,175,200}&gt;=W32,{25,50,75,100,125,150,175,200})) - W32) + 1,
         (MIN(IF({25,50,75,100,125,150,175,200}&gt;=W32,{25,50,75,100,125,150,175,200})) - W32) + W33
      )
   )
)</f>
      </c>
      <c cm="1" r="X34" s="287">
        <f t="array" ref="X34">IF(OR(NOT(ISNUMBER(X32)),NOT(ISNUMBER(X33)),X32&lt;0,X32&gt;200,X33&lt;0,X33&gt;200),"0",
   IF(X33&gt;=X32,
      X33 - X32,
      IF(X33=0,
         (MIN(IF({25,50,75,100,125,150,175,200}&gt;=X32,{25,50,75,100,125,150,175,200})) - X32) + 1,
         (MIN(IF({25,50,75,100,125,150,175,200}&gt;=X32,{25,50,75,100,125,150,175,200})) - X32) + X33
      )
   )
)</f>
      </c>
      <c cm="1" r="Y34" s="287">
        <f t="array" ref="Y34">IF(OR(NOT(ISNUMBER(Y32)),NOT(ISNUMBER(Y33)),Y32&lt;0,Y32&gt;200,Y33&lt;0,Y33&gt;200),"0",
   IF(Y33&gt;=Y32,
      Y33 - Y32,
      IF(Y33=0,
         (MIN(IF({25,50,75,100,125,150,175,200}&gt;=Y32,{25,50,75,100,125,150,175,200})) - Y32) + 1,
         (MIN(IF({25,50,75,100,125,150,175,200}&gt;=Y32,{25,50,75,100,125,150,175,200})) - Y32) + Y33
      )
   )
)</f>
      </c>
      <c cm="1" r="Z34" s="287">
        <f t="array" ref="Z34">IF(OR(NOT(ISNUMBER(Z32)),NOT(ISNUMBER(Z33)),Z32&lt;0,Z32&gt;200,Z33&lt;0,Z33&gt;200),"0",
   IF(Z33&gt;=Z32,
      Z33 - Z32,
      IF(Z33=0,
         (MIN(IF({25,50,75,100,125,150,175,200}&gt;=Z32,{25,50,75,100,125,150,175,200})) - Z32) + 1,
         (MIN(IF({25,50,75,100,125,150,175,200}&gt;=Z32,{25,50,75,100,125,150,175,200})) - Z32) + Z33
      )
   )
)</f>
      </c>
      <c cm="1" r="AA34" s="287">
        <f t="array" ref="AA34">IF(OR(NOT(ISNUMBER(AA32)),NOT(ISNUMBER(AA33)),AA32&lt;0,AA32&gt;200,AA33&lt;0,AA33&gt;200),"0",
   IF(AA33&gt;=AA32,
      AA33 - AA32,
      IF(AA33=0,
         (MIN(IF({25,50,75,100,125,150,175,200}&gt;=AA32,{25,50,75,100,125,150,175,200})) - AA32) + 1,
         (MIN(IF({25,50,75,100,125,150,175,200}&gt;=AA32,{25,50,75,100,125,150,175,200})) - AA32) + AA33
      )
   )
)</f>
      </c>
      <c cm="1" r="AB34" s="287">
        <f t="array" ref="AB34">IF(OR(NOT(ISNUMBER(AB32)),NOT(ISNUMBER(AB33)),AB32&lt;0,AB32&gt;200,AB33&lt;0,AB33&gt;200),"0",
   IF(AB33&gt;=AB32,
      AB33 - AB32,
      IF(AB33=0,
         (MIN(IF({25,50,75,100,125,150,175,200}&gt;=AB32,{25,50,75,100,125,150,175,200})) - AB32) + 1,
         (MIN(IF({25,50,75,100,125,150,175,200}&gt;=AB32,{25,50,75,100,125,150,175,200})) - AB32) + AB33
      )
   )
)</f>
      </c>
    </row>
    <row r="35" spans="3:28" s="199" customFormat="1" ht="12.5" thickBot="1" x14ac:dyDescent="0.35">
      <c r="C35" t="s" s="632">
        <v>237</v>
      </c>
      <c r="D35" s="633"/>
      <c r="E35" s="634"/>
      <c r="F35" s="224">
        <v>0</v>
      </c>
      <c r="G35" s="220"/>
      <c r="I35" s="292">
        <f>'30'!I35</f>
      </c>
      <c r="J35" s="292">
        <f>'30'!J35</f>
      </c>
      <c r="K35" s="292">
        <f>'30'!K35</f>
      </c>
      <c r="L35" s="292">
        <f>'30'!L35</f>
      </c>
      <c r="M35" s="292">
        <f>'30'!M35</f>
      </c>
      <c r="N35" s="292">
        <f>'30'!N35</f>
      </c>
      <c r="O35" s="292">
        <f>'30'!O35</f>
      </c>
      <c r="P35" s="292">
        <f>'30'!P35</f>
      </c>
      <c r="Q35" s="292">
        <f>'30'!Q35</f>
      </c>
      <c r="R35" s="292">
        <f>'30'!R35</f>
      </c>
      <c r="S35" s="292">
        <f>'30'!S35</f>
      </c>
      <c r="T35" s="292">
        <f>'30'!T35</f>
      </c>
      <c r="U35" s="292">
        <f>'30'!U35</f>
      </c>
      <c r="V35" s="292">
        <f>'30'!V35</f>
      </c>
      <c r="W35" s="292">
        <f>'30'!W35</f>
      </c>
      <c r="X35" s="292">
        <f>'30'!X35</f>
      </c>
      <c r="Y35" s="292">
        <f>'30'!Y35</f>
      </c>
      <c r="Z35" s="292">
        <f>'30'!Z35</f>
      </c>
      <c r="AA35" s="292">
        <f>'30'!AA35</f>
      </c>
      <c r="AB35" s="292">
        <f>'30'!AB35</f>
      </c>
    </row>
    <row r="36" spans="3:28" s="199" customFormat="1" ht="15" customHeight="1" thickBot="1" x14ac:dyDescent="0.35">
      <c r="C36" t="s" s="476">
        <v>263</v>
      </c>
      <c r="D36" s="477"/>
      <c r="E36" s="478"/>
      <c r="F36" s="340">
        <f>F34-F35</f>
      </c>
      <c r="G36" s="225"/>
      <c r="I36" s="293">
        <f>I35*I34</f>
      </c>
      <c r="J36" s="345">
        <f>J35*J34</f>
      </c>
      <c r="K36" s="345">
        <f>K35*K34</f>
      </c>
      <c r="L36" s="294">
        <f>L35*L34</f>
      </c>
      <c r="M36" s="294">
        <f t="shared" ref="M36:R36" si="1">M35*M34</f>
      </c>
      <c r="N36" s="294">
        <f t="shared" si="1"/>
      </c>
      <c r="O36" s="294">
        <f t="shared" si="1"/>
      </c>
      <c r="P36" s="294">
        <f t="shared" si="1"/>
      </c>
      <c r="Q36" s="294">
        <f t="shared" si="1"/>
      </c>
      <c r="R36" s="344">
        <f t="shared" si="1"/>
      </c>
      <c r="S36" s="293">
        <f>S35*S34</f>
      </c>
      <c r="T36" s="345">
        <f>T35*T34</f>
      </c>
      <c r="U36" s="345">
        <f>U35*U34</f>
      </c>
      <c r="V36" s="294">
        <f>V35*V34</f>
      </c>
      <c r="W36" s="294">
        <f t="shared" ref="W36:AB36" si="2">W35*W34</f>
      </c>
      <c r="X36" s="294">
        <f t="shared" si="2"/>
      </c>
      <c r="Y36" s="294">
        <f t="shared" si="2"/>
      </c>
      <c r="Z36" s="294">
        <f t="shared" si="2"/>
      </c>
      <c r="AA36" s="294">
        <f t="shared" si="2"/>
      </c>
      <c r="AB36" s="344">
        <f t="shared" si="2"/>
      </c>
    </row>
    <row r="37" spans="3:28" s="199" customFormat="1" ht="14.5" customHeight="1" thickBot="1" x14ac:dyDescent="0.4">
      <c r="C37" t="s" s="454">
        <v>325</v>
      </c>
      <c r="D37" s="454"/>
      <c r="E37" s="454"/>
      <c r="F37" s="341">
        <f>F36+'30'!F37</f>
      </c>
      <c r="K37" t="s" s="479">
        <v>315</v>
      </c>
      <c r="L37" s="480"/>
      <c r="M37" s="480"/>
      <c r="N37" s="480"/>
      <c r="O37" s="480"/>
      <c r="P37" s="480"/>
      <c r="Q37" s="481">
        <f>SUM(I36:AB36)+M30</f>
      </c>
      <c r="R37" s="482"/>
      <c r="S37"/>
      <c r="T37"/>
      <c r="U37"/>
      <c r="V37"/>
      <c r="W37"/>
      <c r="X37"/>
      <c r="Y37"/>
      <c r="Z37"/>
      <c r="AA37"/>
      <c r="AB37"/>
    </row>
    <row r="38" spans="3:28" s="199" customFormat="1" ht="12.5" thickBot="1" x14ac:dyDescent="0.35"/>
    <row r="39" spans="3:28" s="199" customFormat="1" ht="15" thickBot="1" x14ac:dyDescent="0.35">
      <c r="I39" s="225"/>
      <c r="J39" s="225"/>
      <c r="K39" s="225"/>
      <c r="L39" s="225"/>
      <c r="S39" t="s" s="640">
        <v>51</v>
      </c>
      <c r="T39" s="641"/>
      <c r="U39" s="641"/>
      <c r="V39" s="641"/>
      <c r="W39" s="641"/>
      <c r="X39" s="641"/>
      <c r="Y39" s="641"/>
      <c r="Z39" s="641"/>
      <c r="AA39" s="641"/>
      <c r="AB39" s="642"/>
    </row>
    <row r="40" spans="3:28" s="199" customFormat="1" ht="16" thickBot="1" x14ac:dyDescent="0.4">
      <c r="C40" t="s" s="483">
        <v>271</v>
      </c>
      <c r="D40" s="484"/>
      <c r="E40" s="484"/>
      <c r="F40" s="484"/>
      <c r="G40" s="485"/>
      <c r="S40" s="258">
        <v>10</v>
      </c>
      <c r="T40" s="394"/>
      <c r="U40" s="394"/>
      <c r="V40" s="394"/>
      <c r="W40" s="394"/>
      <c r="X40" s="394"/>
      <c r="Y40" s="394"/>
      <c r="Z40" s="389">
        <v>0</v>
      </c>
      <c r="AA40" s="389"/>
      <c r="AB40" s="390"/>
    </row>
    <row r="41" spans="3:28" s="199" customFormat="1" x14ac:dyDescent="0.35">
      <c r="C41" t="s" s="465">
        <v>264</v>
      </c>
      <c r="D41" s="466"/>
      <c r="E41" s="466"/>
      <c r="F41" s="378">
        <f>L7+'30'!F41:G41</f>
      </c>
      <c r="G41" s="379"/>
      <c r="I41" t="s" s="486">
        <v>311</v>
      </c>
      <c r="J41" s="487"/>
      <c r="K41" s="488"/>
      <c r="M41" t="s" s="467">
        <v>312</v>
      </c>
      <c r="N41" s="468"/>
      <c r="O41" s="468"/>
      <c r="P41" s="468"/>
      <c r="Q41" s="469"/>
      <c r="S41" s="258">
        <v>18</v>
      </c>
      <c r="T41" s="394"/>
      <c r="U41" s="394"/>
      <c r="V41" s="394"/>
      <c r="W41" s="394"/>
      <c r="X41" s="394"/>
      <c r="Y41" s="394"/>
      <c r="Z41" s="389">
        <v>0</v>
      </c>
      <c r="AA41" s="389"/>
      <c r="AB41" s="390"/>
    </row>
    <row r="42" spans="3:28" s="199" customFormat="1" x14ac:dyDescent="0.35">
      <c r="C42" t="s" s="465">
        <v>265</v>
      </c>
      <c r="D42" s="466"/>
      <c r="E42" s="466"/>
      <c r="F42" s="378">
        <f>F16+'30'!F42:G42</f>
      </c>
      <c r="G42" s="379"/>
      <c r="I42" t="s" s="489">
        <v>38</v>
      </c>
      <c r="J42" s="490"/>
      <c r="K42" s="268"/>
      <c r="M42" t="s" s="450">
        <v>38</v>
      </c>
      <c r="N42" s="451"/>
      <c r="O42" s="454"/>
      <c r="P42" s="454"/>
      <c r="Q42" s="491"/>
      <c r="S42" s="273">
        <v>19</v>
      </c>
      <c r="T42" s="394"/>
      <c r="U42" s="394"/>
      <c r="V42" s="394"/>
      <c r="W42" s="394"/>
      <c r="X42" s="394"/>
      <c r="Y42" s="394"/>
      <c r="Z42" s="389">
        <v>0</v>
      </c>
      <c r="AA42" s="389"/>
      <c r="AB42" s="390"/>
    </row>
    <row r="43" spans="3:28" s="199" customFormat="1" x14ac:dyDescent="0.35">
      <c r="C43" t="s" s="465">
        <v>273</v>
      </c>
      <c r="D43" s="466"/>
      <c r="E43" s="466"/>
      <c r="F43" s="378">
        <f>F17+'30'!F43:G43</f>
      </c>
      <c r="G43" s="379"/>
      <c r="I43" t="s" s="489">
        <v>282</v>
      </c>
      <c r="J43" s="490"/>
      <c r="K43" s="268"/>
      <c r="M43" t="s" s="450">
        <v>282</v>
      </c>
      <c r="N43" s="451"/>
      <c r="O43" s="454"/>
      <c r="P43" s="454"/>
      <c r="Q43" s="491"/>
      <c r="S43" s="273">
        <v>20</v>
      </c>
      <c r="T43" s="394"/>
      <c r="U43" s="394"/>
      <c r="V43" s="394"/>
      <c r="W43" s="394"/>
      <c r="X43" s="394"/>
      <c r="Y43" s="394"/>
      <c r="Z43" s="389">
        <v>0</v>
      </c>
      <c r="AA43" s="389"/>
      <c r="AB43" s="390"/>
    </row>
    <row r="44" spans="3:28" s="199" customFormat="1" ht="15" thickBot="1" x14ac:dyDescent="0.4">
      <c r="C44" t="s" s="465">
        <v>270</v>
      </c>
      <c r="D44" s="466"/>
      <c r="E44" s="466"/>
      <c r="F44" s="378">
        <f>L12+'30'!F44:G44</f>
      </c>
      <c r="G44" s="379"/>
      <c r="I44" t="s" s="269">
        <v>37</v>
      </c>
      <c r="J44" s="270"/>
      <c r="K44" s="271"/>
      <c r="M44" t="s" s="452">
        <v>37</v>
      </c>
      <c r="N44" s="453"/>
      <c r="O44" s="635"/>
      <c r="P44" s="635"/>
      <c r="Q44" s="636"/>
      <c r="S44" s="273">
        <v>21</v>
      </c>
      <c r="T44" s="394"/>
      <c r="U44" s="394"/>
      <c r="V44" s="394"/>
      <c r="W44" s="394"/>
      <c r="X44" s="394"/>
      <c r="Y44" s="394"/>
      <c r="Z44" s="389">
        <v>0</v>
      </c>
      <c r="AA44" s="389"/>
      <c r="AB44" s="390"/>
    </row>
    <row r="45" spans="3:28" s="199" customFormat="1" ht="15" thickBot="1" x14ac:dyDescent="0.4">
      <c r="C45" t="s" s="465">
        <v>266</v>
      </c>
      <c r="D45" s="466"/>
      <c r="E45" s="466"/>
      <c r="F45" s="378">
        <f>Z30+'30'!F45:G45</f>
      </c>
      <c r="G45" s="379"/>
      <c r="S45" s="273">
        <v>22</v>
      </c>
      <c r="T45" s="394"/>
      <c r="U45" s="394"/>
      <c r="V45" s="394"/>
      <c r="W45" s="394"/>
      <c r="X45" s="394"/>
      <c r="Y45" s="394"/>
      <c r="Z45" s="389">
        <v>0</v>
      </c>
      <c r="AA45" s="389"/>
      <c r="AB45" s="390"/>
    </row>
    <row r="46" spans="3:28" s="199" customFormat="1" x14ac:dyDescent="0.35">
      <c r="C46" t="s" s="465">
        <v>267</v>
      </c>
      <c r="D46" s="466"/>
      <c r="E46" s="466"/>
      <c r="F46" s="378">
        <f>Z9+'30'!F46:G46</f>
      </c>
      <c r="G46" s="379"/>
      <c r="N46" t="s" s="467">
        <v>317</v>
      </c>
      <c r="O46" s="468"/>
      <c r="P46" s="468"/>
      <c r="Q46" s="469"/>
      <c r="S46" s="258">
        <v>23</v>
      </c>
      <c r="T46" s="394"/>
      <c r="U46" s="394"/>
      <c r="V46" s="394"/>
      <c r="W46" s="394"/>
      <c r="X46" s="394"/>
      <c r="Y46" s="394"/>
      <c r="Z46" s="389">
        <v>0</v>
      </c>
      <c r="AA46" s="389"/>
      <c r="AB46" s="390"/>
    </row>
    <row r="47" spans="3:28" s="199" customFormat="1" x14ac:dyDescent="0.35">
      <c r="C47" t="s" s="465">
        <v>268</v>
      </c>
      <c r="D47" s="466"/>
      <c r="E47" s="466"/>
      <c r="F47" s="378">
        <f>(F45-F46)+'30'!F47:G47</f>
      </c>
      <c r="G47" s="379"/>
      <c r="N47" t="s" s="450">
        <v>38</v>
      </c>
      <c r="O47" s="451"/>
      <c r="P47" s="451"/>
      <c r="Q47" s="645"/>
      <c r="S47" s="258">
        <v>24</v>
      </c>
      <c r="T47" s="394"/>
      <c r="U47" s="394"/>
      <c r="V47" s="394"/>
      <c r="W47" s="394"/>
      <c r="X47" s="394"/>
      <c r="Y47" s="394"/>
      <c r="Z47" s="389">
        <v>0</v>
      </c>
      <c r="AA47" s="389"/>
      <c r="AB47" s="390"/>
    </row>
    <row r="48" spans="3:28" s="199" customFormat="1" ht="15" thickBot="1" x14ac:dyDescent="0.4">
      <c r="C48" t="s" s="465">
        <v>313</v>
      </c>
      <c r="D48" s="466"/>
      <c r="E48" s="466"/>
      <c r="F48" s="829">
        <f>F31+'30'!F48:G48</f>
      </c>
      <c r="G48" s="830"/>
      <c r="N48" t="s" s="450">
        <v>282</v>
      </c>
      <c r="O48" s="451"/>
      <c r="P48" s="451"/>
      <c r="Q48" s="645"/>
      <c r="S48" s="259">
        <v>25</v>
      </c>
      <c r="T48" s="507"/>
      <c r="U48" s="507"/>
      <c r="V48" s="507"/>
      <c r="W48" s="507"/>
      <c r="X48" s="507"/>
      <c r="Y48" s="507"/>
      <c r="Z48" s="508">
        <v>0</v>
      </c>
      <c r="AA48" s="508"/>
      <c r="AB48" s="509"/>
    </row>
    <row r="49" spans="3:28" s="199" customFormat="1" ht="15" thickBot="1" x14ac:dyDescent="0.4">
      <c r="C49" t="s" s="465">
        <v>314</v>
      </c>
      <c r="D49" s="466"/>
      <c r="E49" s="466"/>
      <c r="F49" s="378">
        <f>F15+'30'!F49:G49</f>
      </c>
      <c r="G49" s="379"/>
      <c r="N49" t="s" s="452">
        <v>37</v>
      </c>
      <c r="O49" s="453"/>
      <c r="P49" s="453"/>
      <c r="Q49" s="637"/>
      <c r="U49" t="s" s="424">
        <v>238</v>
      </c>
      <c r="V49" s="425"/>
      <c r="W49" s="425"/>
      <c r="X49" s="425"/>
      <c r="Y49" s="425"/>
      <c r="Z49" s="643">
        <f>SUM(Z32:AB48)</f>
      </c>
      <c r="AA49" s="425"/>
      <c r="AB49" s="644"/>
    </row>
    <row r="50" spans="3:28" s="199" customFormat="1" ht="15" thickBot="1" x14ac:dyDescent="0.4">
      <c r="C50" t="s" s="465">
        <v>269</v>
      </c>
      <c r="D50" s="466"/>
      <c r="E50" s="466"/>
      <c r="F50" s="378">
        <f>(128.55+29.42+665.77)/7++'30'!F50:G50</f>
      </c>
      <c r="G50" s="379"/>
    </row>
    <row r="51" spans="3:28" ht="15" thickBot="1" x14ac:dyDescent="0.4">
      <c r="C51" t="s" s="492">
        <v>240</v>
      </c>
      <c r="D51" s="493"/>
      <c r="E51" s="493"/>
      <c r="F51" s="739">
        <f>Z10+'30'!F51:G51</f>
      </c>
      <c r="G51" s="740"/>
      <c r="I51" t="s" s="467">
        <v>274</v>
      </c>
      <c r="J51" s="468"/>
      <c r="K51" s="468"/>
      <c r="L51" s="468"/>
      <c r="M51" s="468"/>
      <c r="N51" s="468"/>
      <c r="O51" s="468"/>
      <c r="P51" s="469"/>
      <c r="S51" t="s" s="470">
        <v>257</v>
      </c>
      <c r="T51" s="471"/>
      <c r="U51" s="471"/>
      <c r="V51" s="471"/>
      <c r="W51" s="471"/>
      <c r="X51" s="471"/>
      <c r="Y51" s="471"/>
      <c r="Z51" s="471"/>
      <c r="AA51" s="471"/>
      <c r="AB51" s="472"/>
    </row>
    <row r="52" spans="3:28" ht="15" thickBot="1" x14ac:dyDescent="0.4">
      <c r="C52" t="s" s="431">
        <v>324</v>
      </c>
      <c r="D52" s="431"/>
      <c r="E52" s="431"/>
      <c r="F52" s="384">
        <f>F18+'30'!F52:G52</f>
      </c>
      <c r="G52" s="385"/>
      <c r="I52" t="s" s="421">
        <v>283</v>
      </c>
      <c r="J52" s="422"/>
      <c r="K52" s="422"/>
      <c r="L52" t="s" s="239">
        <v>284</v>
      </c>
      <c r="M52" t="s" s="422">
        <v>138</v>
      </c>
      <c r="N52" s="422"/>
      <c r="O52" s="422"/>
      <c r="P52" s="423"/>
      <c r="S52" s="432"/>
      <c r="T52" s="433"/>
      <c r="U52" s="433"/>
      <c r="V52" s="433"/>
      <c r="W52" s="433"/>
      <c r="X52" s="433"/>
      <c r="Y52" s="433"/>
      <c r="Z52" s="433"/>
      <c r="AA52" s="433"/>
      <c r="AB52" s="434"/>
    </row>
    <row r="53" spans="3:28" ht="15" thickBot="1" x14ac:dyDescent="0.4">
      <c r="C53" t="s" s="431">
        <v>326</v>
      </c>
      <c r="D53" s="431"/>
      <c r="E53" s="431"/>
      <c r="F53" s="384">
        <f>(F7-Z9)+'30'!F53:G53</f>
      </c>
      <c r="G53" s="385"/>
      <c r="I53" t="s" s="441">
        <v>331</v>
      </c>
      <c r="J53" s="420"/>
      <c r="K53" s="420"/>
      <c r="L53" s="238"/>
      <c r="M53" s="418">
        <f>L53+'30'!M53:P53</f>
      </c>
      <c r="N53" s="418"/>
      <c r="O53" s="418"/>
      <c r="P53" s="419"/>
      <c r="S53" s="435"/>
      <c r="T53" s="436"/>
      <c r="U53" s="436"/>
      <c r="V53" s="436"/>
      <c r="W53" s="436"/>
      <c r="X53" s="436"/>
      <c r="Y53" s="436"/>
      <c r="Z53" s="436"/>
      <c r="AA53" s="436"/>
      <c r="AB53" s="437"/>
    </row>
    <row r="54" spans="3:28" x14ac:dyDescent="0.35">
      <c r="I54" t="s" s="441">
        <v>276</v>
      </c>
      <c r="J54" s="420"/>
      <c r="K54" s="420"/>
      <c r="L54" s="238"/>
      <c r="M54" s="418">
        <f>L54+'30'!M54:P54</f>
      </c>
      <c r="N54" s="418"/>
      <c r="O54" s="418"/>
      <c r="P54" s="419"/>
      <c r="S54" s="435"/>
      <c r="T54" s="436"/>
      <c r="U54" s="436"/>
      <c r="V54" s="436"/>
      <c r="W54" s="436"/>
      <c r="X54" s="436"/>
      <c r="Y54" s="436"/>
      <c r="Z54" s="436"/>
      <c r="AA54" s="436"/>
      <c r="AB54" s="437"/>
    </row>
    <row r="55" spans="3:28" ht="28.9" customHeight="1" x14ac:dyDescent="0.35">
      <c r="I55" t="s" s="442">
        <v>285</v>
      </c>
      <c r="J55" s="443"/>
      <c r="K55" s="443"/>
      <c r="L55" s="238"/>
      <c r="M55" s="850">
        <f>L55+'30'!M55:P55</f>
      </c>
      <c r="N55" s="850"/>
      <c r="O55" s="850"/>
      <c r="P55" s="851"/>
      <c r="S55" s="435"/>
      <c r="T55" s="436"/>
      <c r="U55" s="436"/>
      <c r="V55" s="436"/>
      <c r="W55" s="436"/>
      <c r="X55" s="436"/>
      <c r="Y55" s="436"/>
      <c r="Z55" s="436"/>
      <c r="AA55" s="436"/>
      <c r="AB55" s="437"/>
    </row>
    <row r="56" spans="3:28" ht="16.899999999999999" customHeight="1" x14ac:dyDescent="0.35">
      <c r="I56" t="s" s="441">
        <v>277</v>
      </c>
      <c r="J56" s="420"/>
      <c r="K56" s="420"/>
      <c r="L56" s="238"/>
      <c r="M56" s="418">
        <f>L56+'30'!M56:P56</f>
      </c>
      <c r="N56" s="418"/>
      <c r="O56" s="418"/>
      <c r="P56" s="419"/>
      <c r="S56" s="435"/>
      <c r="T56" s="436"/>
      <c r="U56" s="436"/>
      <c r="V56" s="436"/>
      <c r="W56" s="436"/>
      <c r="X56" s="436"/>
      <c r="Y56" s="436"/>
      <c r="Z56" s="436"/>
      <c r="AA56" s="436"/>
      <c r="AB56" s="437"/>
    </row>
    <row r="57" spans="3:28" x14ac:dyDescent="0.35">
      <c r="I57" t="s" s="441">
        <v>278</v>
      </c>
      <c r="J57" s="420"/>
      <c r="K57" s="420"/>
      <c r="L57" s="238"/>
      <c r="M57" s="418">
        <f>L57+'30'!M57:P57</f>
      </c>
      <c r="N57" s="418"/>
      <c r="O57" s="418"/>
      <c r="P57" s="419"/>
      <c r="S57" s="435"/>
      <c r="T57" s="436"/>
      <c r="U57" s="436"/>
      <c r="V57" s="436"/>
      <c r="W57" s="436"/>
      <c r="X57" s="436"/>
      <c r="Y57" s="436"/>
      <c r="Z57" s="436"/>
      <c r="AA57" s="436"/>
      <c r="AB57" s="437"/>
    </row>
    <row r="58" spans="3:28" x14ac:dyDescent="0.35">
      <c r="I58" t="s" s="441">
        <v>279</v>
      </c>
      <c r="J58" s="420"/>
      <c r="K58" s="420"/>
      <c r="L58" s="238"/>
      <c r="M58" s="418">
        <f>L58+'30'!M58:P58</f>
      </c>
      <c r="N58" s="418"/>
      <c r="O58" s="418"/>
      <c r="P58" s="419"/>
      <c r="S58" s="435"/>
      <c r="T58" s="436"/>
      <c r="U58" s="436"/>
      <c r="V58" s="436"/>
      <c r="W58" s="436"/>
      <c r="X58" s="436"/>
      <c r="Y58" s="436"/>
      <c r="Z58" s="436"/>
      <c r="AA58" s="436"/>
      <c r="AB58" s="437"/>
    </row>
    <row r="59" spans="3:28" x14ac:dyDescent="0.35">
      <c r="I59" t="s" s="441">
        <v>280</v>
      </c>
      <c r="J59" s="420"/>
      <c r="K59" s="420"/>
      <c r="L59" s="238"/>
      <c r="M59" s="418">
        <f>L59+'30'!M59:P59</f>
      </c>
      <c r="N59" s="418"/>
      <c r="O59" s="418"/>
      <c r="P59" s="419"/>
      <c r="S59" s="435"/>
      <c r="T59" s="436"/>
      <c r="U59" s="436"/>
      <c r="V59" s="436"/>
      <c r="W59" s="436"/>
      <c r="X59" s="436"/>
      <c r="Y59" s="436"/>
      <c r="Z59" s="436"/>
      <c r="AA59" s="436"/>
      <c r="AB59" s="437"/>
    </row>
    <row r="60" spans="3:28" x14ac:dyDescent="0.35">
      <c r="I60" t="s" s="441">
        <v>281</v>
      </c>
      <c r="J60" s="420"/>
      <c r="K60" s="420"/>
      <c r="L60" s="238"/>
      <c r="M60" s="418">
        <f>L60+'30'!M60:P60</f>
      </c>
      <c r="N60" s="418"/>
      <c r="O60" s="418"/>
      <c r="P60" s="419"/>
      <c r="S60" s="435"/>
      <c r="T60" s="436"/>
      <c r="U60" s="436"/>
      <c r="V60" s="436"/>
      <c r="W60" s="436"/>
      <c r="X60" s="436"/>
      <c r="Y60" s="436"/>
      <c r="Z60" s="436"/>
      <c r="AA60" s="436"/>
      <c r="AB60" s="437"/>
    </row>
    <row r="61" spans="3:28" ht="15" thickBot="1" x14ac:dyDescent="0.4">
      <c r="I61" t="s" s="416">
        <v>287</v>
      </c>
      <c r="J61" s="417"/>
      <c r="K61" s="417"/>
      <c r="L61" s="241"/>
      <c r="M61" s="418">
        <f>L61+'30'!M61:P61</f>
      </c>
      <c r="N61" s="418"/>
      <c r="O61" s="418"/>
      <c r="P61" s="419"/>
      <c r="S61" s="438"/>
      <c r="T61" s="439"/>
      <c r="U61" s="439"/>
      <c r="V61" s="439"/>
      <c r="W61" s="439"/>
      <c r="X61" s="439"/>
      <c r="Y61" s="439"/>
      <c r="Z61" s="439"/>
      <c r="AA61" s="439"/>
      <c r="AB61" s="440"/>
    </row>
    <row r="62" spans="3:28" ht="15" thickBot="1" x14ac:dyDescent="0.4">
      <c r="I62" t="s" s="416">
        <v>327</v>
      </c>
      <c r="J62" s="417"/>
      <c r="K62" s="417"/>
      <c r="L62" s="241"/>
      <c r="M62" s="418">
        <f>L62+'30'!M62:P62</f>
      </c>
      <c r="N62" s="418"/>
      <c r="O62" s="418"/>
      <c r="P62" s="419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 spans="3:28" ht="15" thickBot="1" x14ac:dyDescent="0.4">
      <c r="I63" t="s" s="416">
        <v>157</v>
      </c>
      <c r="J63" s="417"/>
      <c r="K63" s="417"/>
      <c r="L63" s="241"/>
      <c r="M63" s="418">
        <f>L63+'30'!M63:P63</f>
      </c>
      <c r="N63" s="418"/>
      <c r="O63" s="418"/>
      <c r="P63" s="419"/>
    </row>
    <row r="64" spans="3:28" ht="15" thickBot="1" x14ac:dyDescent="0.4">
      <c r="M64" s="418">
        <f>SUM(M53:M63)</f>
      </c>
      <c r="N64" s="420"/>
      <c r="O64" s="420"/>
      <c r="P64" s="420"/>
    </row>
  </sheetData>
  <mergeCells count="203">
    <mergeCell ref="C52:E52"/>
    <mergeCell ref="F52:G52"/>
    <mergeCell ref="C53:E53"/>
    <mergeCell ref="F53:G53"/>
    <mergeCell ref="I62:K62"/>
    <mergeCell ref="M62:P62"/>
    <mergeCell ref="I63:K63"/>
    <mergeCell ref="M63:P63"/>
    <mergeCell ref="M64:P64"/>
    <mergeCell ref="Z49:AB49"/>
    <mergeCell ref="Z48:AB48"/>
    <mergeCell ref="F43:G43"/>
    <mergeCell ref="F44:G44"/>
    <mergeCell ref="F45:G45"/>
    <mergeCell ref="F46:G46"/>
    <mergeCell ref="F47:G47"/>
    <mergeCell ref="F48:G48"/>
    <mergeCell ref="F49:G49"/>
    <mergeCell ref="Z46:AB46"/>
    <mergeCell ref="Z47:AB47"/>
    <mergeCell ref="P49:Q49"/>
    <mergeCell ref="T44:Y44"/>
    <mergeCell ref="Z44:AB44"/>
    <mergeCell ref="T45:Y45"/>
    <mergeCell ref="Z45:AB45"/>
    <mergeCell ref="N48:O48"/>
    <mergeCell ref="P47:Q47"/>
    <mergeCell ref="I43:J43"/>
    <mergeCell ref="M43:N43"/>
    <mergeCell ref="F50:G50"/>
    <mergeCell ref="U49:Y49"/>
    <mergeCell ref="C50:E50"/>
    <mergeCell ref="C51:E5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O43:Q43"/>
    <mergeCell ref="M44:N44"/>
    <mergeCell ref="O44:Q44"/>
    <mergeCell ref="N46:Q46"/>
    <mergeCell ref="N47:O47"/>
    <mergeCell ref="T41:Y41"/>
    <mergeCell ref="T48:Y48"/>
    <mergeCell ref="T46:Y46"/>
    <mergeCell ref="T47:Y47"/>
    <mergeCell ref="P48:Q48"/>
    <mergeCell ref="N49:O49"/>
    <mergeCell ref="G1:S1"/>
    <mergeCell ref="G2:S2"/>
    <mergeCell ref="C5:K5"/>
    <mergeCell ref="C6:E6"/>
    <mergeCell ref="F6:G6"/>
    <mergeCell ref="H6:K6"/>
    <mergeCell ref="L6:R6"/>
    <mergeCell ref="S6:U6"/>
    <mergeCell ref="C8:E8"/>
    <mergeCell ref="F8:G8"/>
    <mergeCell ref="H8:K8"/>
    <mergeCell ref="L8:R8"/>
    <mergeCell ref="S8:AB8"/>
    <mergeCell ref="V6:AB6"/>
    <mergeCell ref="C7:E7"/>
    <mergeCell ref="F7:G7"/>
    <mergeCell ref="H7:K7"/>
    <mergeCell ref="L7:R7"/>
    <mergeCell ref="S7:U7"/>
    <mergeCell ref="V7:Y7"/>
    <mergeCell ref="Z7:AB7"/>
    <mergeCell ref="C3:D3"/>
    <mergeCell ref="L5:N5"/>
    <mergeCell ref="O5:Q5"/>
    <mergeCell ref="Z13:AB13"/>
    <mergeCell ref="Z15:AB15"/>
    <mergeCell ref="C12:D12"/>
    <mergeCell ref="L9:R9"/>
    <mergeCell ref="T9:Y9"/>
    <mergeCell ref="Z9:AB9"/>
    <mergeCell ref="C10:D10"/>
    <mergeCell ref="H10:K10"/>
    <mergeCell ref="L10:R10"/>
    <mergeCell ref="T10:Y10"/>
    <mergeCell ref="Z10:AB10"/>
    <mergeCell ref="D11:E11"/>
    <mergeCell ref="H11:K11"/>
    <mergeCell ref="L11:R11"/>
    <mergeCell ref="T11:Y11"/>
    <mergeCell ref="Z11:AB11"/>
    <mergeCell ref="D9:E9"/>
    <mergeCell ref="H9:K9"/>
    <mergeCell ref="C22:D22"/>
    <mergeCell ref="C23:D23"/>
    <mergeCell ref="C24:D24"/>
    <mergeCell ref="C25:D25"/>
    <mergeCell ref="C26:D26"/>
    <mergeCell ref="C27:D27"/>
    <mergeCell ref="D13:E13"/>
    <mergeCell ref="I13:K13"/>
    <mergeCell ref="T13:Y13"/>
    <mergeCell ref="C16:E16"/>
    <mergeCell ref="F16:G16"/>
    <mergeCell ref="T16:Y16"/>
    <mergeCell ref="Z16:AB16"/>
    <mergeCell ref="C17:E17"/>
    <mergeCell ref="F17:G17"/>
    <mergeCell ref="H16:K16"/>
    <mergeCell ref="L16:R16"/>
    <mergeCell ref="H17:K18"/>
    <mergeCell ref="L17:R18"/>
    <mergeCell ref="T17:Y17"/>
    <mergeCell ref="C18:E18"/>
    <mergeCell ref="F18:G18"/>
    <mergeCell ref="S18:Y18"/>
    <mergeCell ref="Z18:AB18"/>
    <mergeCell ref="Z17:AB17"/>
    <mergeCell ref="Z42:AB42"/>
    <mergeCell ref="T43:Y43"/>
    <mergeCell ref="Z43:AB43"/>
    <mergeCell ref="V30:Y30"/>
    <mergeCell ref="Z30:AB30"/>
    <mergeCell ref="T40:Y40"/>
    <mergeCell ref="Z40:AB40"/>
    <mergeCell ref="T30:U30"/>
    <mergeCell ref="I22:AB23"/>
    <mergeCell ref="K37:P37"/>
    <mergeCell ref="Q37:R37"/>
    <mergeCell ref="S5:U5"/>
    <mergeCell ref="W5:Y5"/>
    <mergeCell ref="Z5:AB5"/>
    <mergeCell ref="C20:D21"/>
    <mergeCell ref="E20:G21"/>
    <mergeCell ref="H20:H21"/>
    <mergeCell ref="I20:O21"/>
    <mergeCell ref="P20:R21"/>
    <mergeCell ref="S20:Y21"/>
    <mergeCell ref="Z20:AB21"/>
    <mergeCell ref="C14:D14"/>
    <mergeCell ref="H14:K14"/>
    <mergeCell ref="L14:R14"/>
    <mergeCell ref="T14:Y14"/>
    <mergeCell ref="Z14:AB14"/>
    <mergeCell ref="C15:E15"/>
    <mergeCell ref="F15:G15"/>
    <mergeCell ref="H15:K15"/>
    <mergeCell ref="L15:R15"/>
    <mergeCell ref="T15:Y15"/>
    <mergeCell ref="I12:K12"/>
    <mergeCell ref="L12:R13"/>
    <mergeCell ref="T12:Y12"/>
    <mergeCell ref="Z12:AB12"/>
    <mergeCell ref="C40:G40"/>
    <mergeCell ref="F41:G41"/>
    <mergeCell ref="I41:K41"/>
    <mergeCell ref="M41:Q41"/>
    <mergeCell ref="F42:G42"/>
    <mergeCell ref="I42:J42"/>
    <mergeCell ref="M42:N42"/>
    <mergeCell ref="O42:Q42"/>
    <mergeCell ref="C28:D28"/>
    <mergeCell ref="C29:D29"/>
    <mergeCell ref="C34:E34"/>
    <mergeCell ref="F30:H30"/>
    <mergeCell ref="I30:L30"/>
    <mergeCell ref="M30:N30"/>
    <mergeCell ref="O30:S30"/>
    <mergeCell ref="C32:E32"/>
    <mergeCell ref="C35:E35"/>
    <mergeCell ref="C30:E30"/>
    <mergeCell ref="C31:E31"/>
    <mergeCell ref="C36:E36"/>
    <mergeCell ref="C37:E37"/>
    <mergeCell ref="S39:AB39"/>
    <mergeCell ref="Z41:AB41"/>
    <mergeCell ref="T42:Y42"/>
    <mergeCell ref="F51:G51"/>
    <mergeCell ref="I51:P51"/>
    <mergeCell ref="S51:AB51"/>
    <mergeCell ref="I52:K52"/>
    <mergeCell ref="M52:P52"/>
    <mergeCell ref="S52:AB61"/>
    <mergeCell ref="I53:K53"/>
    <mergeCell ref="M53:P53"/>
    <mergeCell ref="I54:K54"/>
    <mergeCell ref="M54:P54"/>
    <mergeCell ref="I55:K55"/>
    <mergeCell ref="M55:P55"/>
    <mergeCell ref="I56:K56"/>
    <mergeCell ref="M56:P56"/>
    <mergeCell ref="I57:K57"/>
    <mergeCell ref="M57:P57"/>
    <mergeCell ref="I58:K58"/>
    <mergeCell ref="M58:P58"/>
    <mergeCell ref="I59:K59"/>
    <mergeCell ref="M59:P59"/>
    <mergeCell ref="I60:K60"/>
    <mergeCell ref="M60:P60"/>
    <mergeCell ref="I61:K61"/>
    <mergeCell ref="M61:P61"/>
  </mergeCells>
  <printOptions horizontalCentered="1"/>
  <pageMargins left="0.25" right="0.2" top="0.25" bottom="0.2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1</vt:i4>
      </vt:variant>
    </vt:vector>
  </HeadingPairs>
  <TitlesOfParts>
    <vt:vector size="48" baseType="lpstr">
      <vt:lpstr>Sheet2</vt:lpstr>
      <vt:lpstr>PL-WM</vt:lpstr>
      <vt:lpstr>G-Stat</vt:lpstr>
      <vt:lpstr>G-Graph</vt:lpstr>
      <vt:lpstr>S-Detail</vt:lpstr>
      <vt:lpstr>S-Graph</vt:lpstr>
      <vt:lpstr>Emp-Stat</vt:lpstr>
      <vt:lpstr>INV-1</vt:lpstr>
      <vt:lpstr>INV-2</vt:lpstr>
      <vt:lpstr>Ref Cells</vt:lpstr>
      <vt:lpstr>Sales (Auto)</vt:lpstr>
      <vt:lpstr>Sheet3</vt:lpstr>
      <vt:lpstr>Purchases</vt:lpstr>
      <vt:lpstr>Expenses</vt:lpstr>
      <vt:lpstr>Gas Report</vt:lpstr>
      <vt:lpstr>Month-End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'G-Stat'!Print_Area</vt:lpstr>
    </vt:vector>
  </TitlesOfParts>
  <Manager/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</dc:creator>
  <cp:keywords/>
  <dc:description/>
  <cp:lastModifiedBy>Aryan Alam</cp:lastModifiedBy>
  <cp:lastPrinted>2023-01-02T22:09:40Z</cp:lastPrinted>
  <dcterms:created xsi:type="dcterms:W3CDTF">2011-06-29T01:36:37Z</dcterms:created>
  <dcterms:modified xsi:type="dcterms:W3CDTF">2025-11-02T19:03:17Z</dcterms:modified>
  <cp:category/>
</cp:coreProperties>
</file>